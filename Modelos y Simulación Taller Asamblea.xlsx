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aledu-my.sharepoint.com/personal/evmunoz_unal_edu_co/Documents/GENERAL/Documents/UNAL/Semestre 5/Modelos y Simulación/"/>
    </mc:Choice>
  </mc:AlternateContent>
  <xr:revisionPtr revIDLastSave="298" documentId="11_5BD7C3E8268B0BEF01AD73DF8C900052EE2D2AC7" xr6:coauthVersionLast="47" xr6:coauthVersionMax="47" xr10:uidLastSave="{A011A0C9-2DDE-4E77-8244-56B9CF89EAE3}"/>
  <bookViews>
    <workbookView xWindow="-98" yWindow="-98" windowWidth="19396" windowHeight="11475" xr2:uid="{00000000-000D-0000-FFFF-FFFF00000000}"/>
  </bookViews>
  <sheets>
    <sheet name="Parámetros" sheetId="1" r:id="rId1"/>
    <sheet name="Simulació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B10" i="1"/>
  <c r="J3" i="2"/>
  <c r="G3" i="2"/>
  <c r="F3" i="2"/>
  <c r="C3" i="2"/>
  <c r="D3" i="2" s="1"/>
  <c r="H3" i="2" l="1"/>
  <c r="I3" i="2" s="1"/>
  <c r="L3" i="2"/>
  <c r="M3" i="2" s="1"/>
  <c r="K3" i="2" l="1"/>
  <c r="B4" i="2" s="1"/>
  <c r="C4" i="2" s="1"/>
  <c r="D4" i="2" s="1"/>
  <c r="A4" i="2" l="1"/>
  <c r="E4" i="2"/>
  <c r="L4" i="2"/>
  <c r="M4" i="2" s="1"/>
  <c r="F4" i="2" l="1"/>
  <c r="J4" i="2"/>
  <c r="G4" i="2"/>
  <c r="H4" i="2" l="1"/>
  <c r="I4" i="2" s="1"/>
  <c r="K4" i="2" s="1"/>
  <c r="B5" i="2" s="1"/>
  <c r="E5" i="2" l="1"/>
  <c r="C5" i="2"/>
  <c r="D5" i="2" s="1"/>
  <c r="A5" i="2"/>
  <c r="G5" i="2" l="1"/>
  <c r="L5" i="2"/>
  <c r="M5" i="2" s="1"/>
  <c r="F5" i="2"/>
  <c r="J5" i="2"/>
  <c r="H5" i="2" l="1"/>
  <c r="I5" i="2" s="1"/>
  <c r="K5" i="2" s="1"/>
  <c r="B6" i="2" s="1"/>
  <c r="A6" i="2" l="1"/>
  <c r="C6" i="2"/>
  <c r="D6" i="2" s="1"/>
  <c r="E6" i="2"/>
  <c r="F6" i="2" l="1"/>
  <c r="L6" i="2"/>
  <c r="M6" i="2" s="1"/>
  <c r="G6" i="2"/>
  <c r="J6" i="2"/>
  <c r="H6" i="2" l="1"/>
  <c r="I6" i="2" s="1"/>
  <c r="K6" i="2" s="1"/>
  <c r="B7" i="2" s="1"/>
  <c r="A7" i="2" s="1"/>
  <c r="C7" i="2" l="1"/>
  <c r="D7" i="2" s="1"/>
  <c r="E7" i="2"/>
  <c r="L7" i="2" l="1"/>
  <c r="M7" i="2" s="1"/>
  <c r="J7" i="2"/>
  <c r="F7" i="2"/>
  <c r="G7" i="2"/>
  <c r="H7" i="2" l="1"/>
  <c r="I7" i="2" s="1"/>
  <c r="K7" i="2" s="1"/>
  <c r="B8" i="2" s="1"/>
  <c r="E8" i="2" s="1"/>
  <c r="F8" i="2" l="1"/>
  <c r="J8" i="2"/>
  <c r="G8" i="2"/>
  <c r="C8" i="2"/>
  <c r="D8" i="2" s="1"/>
  <c r="A8" i="2"/>
  <c r="L8" i="2" l="1"/>
  <c r="M8" i="2" s="1"/>
  <c r="H8" i="2"/>
  <c r="I8" i="2" s="1"/>
  <c r="K8" i="2" s="1"/>
  <c r="B9" i="2" s="1"/>
  <c r="A9" i="2" s="1"/>
  <c r="C9" i="2" l="1"/>
  <c r="D9" i="2" s="1"/>
  <c r="E9" i="2"/>
  <c r="L9" i="2" l="1"/>
  <c r="M9" i="2" s="1"/>
  <c r="G9" i="2"/>
  <c r="F9" i="2"/>
  <c r="J9" i="2"/>
  <c r="H9" i="2" l="1"/>
  <c r="I9" i="2" s="1"/>
  <c r="K9" i="2" s="1"/>
  <c r="B10" i="2" s="1"/>
  <c r="E10" i="2" s="1"/>
  <c r="A10" i="2" l="1"/>
  <c r="F10" i="2"/>
  <c r="G10" i="2"/>
  <c r="J10" i="2"/>
  <c r="C10" i="2"/>
  <c r="D10" i="2" s="1"/>
  <c r="L10" i="2" l="1"/>
  <c r="M10" i="2" s="1"/>
  <c r="H10" i="2"/>
  <c r="I10" i="2" s="1"/>
  <c r="K10" i="2" s="1"/>
  <c r="B11" i="2" s="1"/>
  <c r="E11" i="2" l="1"/>
  <c r="A11" i="2"/>
  <c r="C11" i="2"/>
  <c r="D11" i="2" s="1"/>
  <c r="L11" i="2" l="1"/>
  <c r="M11" i="2" s="1"/>
  <c r="J11" i="2"/>
  <c r="F11" i="2"/>
  <c r="G11" i="2"/>
  <c r="H11" i="2" l="1"/>
  <c r="I11" i="2" s="1"/>
  <c r="K11" i="2" s="1"/>
  <c r="B12" i="2" s="1"/>
  <c r="E12" i="2" s="1"/>
  <c r="F12" i="2" l="1"/>
  <c r="J12" i="2"/>
  <c r="G12" i="2"/>
  <c r="A12" i="2"/>
  <c r="C12" i="2"/>
  <c r="D12" i="2" s="1"/>
  <c r="L12" i="2" l="1"/>
  <c r="M12" i="2" s="1"/>
  <c r="H12" i="2"/>
  <c r="I12" i="2" s="1"/>
  <c r="K12" i="2" s="1"/>
  <c r="B13" i="2" s="1"/>
  <c r="E13" i="2" s="1"/>
  <c r="J13" i="2" l="1"/>
  <c r="C13" i="2"/>
  <c r="D13" i="2" s="1"/>
  <c r="A13" i="2"/>
  <c r="G13" i="2"/>
  <c r="F13" i="2"/>
  <c r="L13" i="2" l="1"/>
  <c r="M13" i="2" s="1"/>
  <c r="H13" i="2"/>
  <c r="I13" i="2" s="1"/>
  <c r="K13" i="2" s="1"/>
  <c r="B14" i="2" s="1"/>
  <c r="A14" i="2" s="1"/>
  <c r="E14" i="2" l="1"/>
  <c r="C14" i="2"/>
  <c r="D14" i="2" s="1"/>
  <c r="L14" i="2" l="1"/>
  <c r="M14" i="2" s="1"/>
  <c r="J14" i="2"/>
  <c r="G14" i="2"/>
  <c r="F14" i="2"/>
  <c r="H14" i="2" l="1"/>
  <c r="I14" i="2" s="1"/>
  <c r="K14" i="2" s="1"/>
  <c r="B15" i="2" s="1"/>
  <c r="E15" i="2" s="1"/>
  <c r="J15" i="2" l="1"/>
  <c r="A15" i="2"/>
  <c r="G15" i="2"/>
  <c r="F15" i="2"/>
  <c r="C15" i="2"/>
  <c r="D15" i="2" s="1"/>
  <c r="L15" i="2" l="1"/>
  <c r="M15" i="2" s="1"/>
  <c r="H15" i="2"/>
  <c r="I15" i="2" s="1"/>
  <c r="K15" i="2" s="1"/>
  <c r="B16" i="2" s="1"/>
  <c r="A16" i="2" s="1"/>
  <c r="C16" i="2" l="1"/>
  <c r="D16" i="2" s="1"/>
  <c r="E16" i="2"/>
  <c r="L16" i="2" l="1"/>
  <c r="M16" i="2" s="1"/>
  <c r="G16" i="2"/>
  <c r="F16" i="2"/>
  <c r="J16" i="2"/>
  <c r="H16" i="2" l="1"/>
  <c r="I16" i="2" s="1"/>
  <c r="K16" i="2" s="1"/>
  <c r="B17" i="2" s="1"/>
  <c r="C17" i="2" s="1"/>
  <c r="D17" i="2" s="1"/>
  <c r="L17" i="2" l="1"/>
  <c r="M17" i="2" s="1"/>
  <c r="A17" i="2"/>
  <c r="E17" i="2"/>
  <c r="F17" i="2" l="1"/>
  <c r="J17" i="2"/>
  <c r="G17" i="2"/>
  <c r="H17" i="2" l="1"/>
  <c r="I17" i="2" s="1"/>
  <c r="K17" i="2" s="1"/>
  <c r="B18" i="2" s="1"/>
  <c r="A18" i="2" s="1"/>
  <c r="E18" i="2" l="1"/>
  <c r="C18" i="2"/>
  <c r="D18" i="2" s="1"/>
  <c r="L18" i="2" l="1"/>
  <c r="M18" i="2" s="1"/>
  <c r="J18" i="2"/>
  <c r="F18" i="2"/>
  <c r="G18" i="2"/>
  <c r="H18" i="2" l="1"/>
  <c r="I18" i="2" s="1"/>
  <c r="K18" i="2" s="1"/>
  <c r="B19" i="2" s="1"/>
  <c r="A19" i="2" s="1"/>
  <c r="C19" i="2" l="1"/>
  <c r="D19" i="2" s="1"/>
  <c r="E19" i="2"/>
  <c r="L19" i="2" l="1"/>
  <c r="M19" i="2" s="1"/>
  <c r="G19" i="2"/>
  <c r="F19" i="2"/>
  <c r="J19" i="2"/>
  <c r="H19" i="2" l="1"/>
  <c r="I19" i="2" s="1"/>
  <c r="K19" i="2" s="1"/>
  <c r="B20" i="2" s="1"/>
  <c r="A20" i="2" s="1"/>
  <c r="E20" i="2" l="1"/>
  <c r="C20" i="2"/>
  <c r="D20" i="2" s="1"/>
  <c r="L20" i="2" l="1"/>
  <c r="M20" i="2" s="1"/>
  <c r="G20" i="2"/>
  <c r="J20" i="2"/>
  <c r="F20" i="2"/>
  <c r="H20" i="2" l="1"/>
  <c r="I20" i="2" s="1"/>
  <c r="K20" i="2" s="1"/>
  <c r="B21" i="2" s="1"/>
  <c r="C21" i="2" s="1"/>
  <c r="D21" i="2" s="1"/>
  <c r="L21" i="2" l="1"/>
  <c r="M21" i="2" s="1"/>
  <c r="E21" i="2"/>
  <c r="A21" i="2"/>
  <c r="G21" i="2" l="1"/>
  <c r="F21" i="2"/>
  <c r="J21" i="2"/>
  <c r="H21" i="2" l="1"/>
  <c r="I21" i="2" s="1"/>
  <c r="K21" i="2" s="1"/>
  <c r="B22" i="2" s="1"/>
  <c r="A22" i="2" s="1"/>
  <c r="E22" i="2" l="1"/>
  <c r="C22" i="2"/>
  <c r="D22" i="2" s="1"/>
  <c r="L22" i="2" l="1"/>
  <c r="M22" i="2" s="1"/>
  <c r="F22" i="2"/>
  <c r="J22" i="2"/>
  <c r="G22" i="2"/>
  <c r="H22" i="2" l="1"/>
  <c r="I22" i="2" s="1"/>
  <c r="K22" i="2" s="1"/>
  <c r="B23" i="2" s="1"/>
  <c r="A23" i="2" s="1"/>
  <c r="E23" i="2" l="1"/>
  <c r="C23" i="2"/>
  <c r="D23" i="2" s="1"/>
  <c r="L23" i="2" l="1"/>
  <c r="M23" i="2" s="1"/>
  <c r="J23" i="2"/>
  <c r="G23" i="2"/>
  <c r="F23" i="2"/>
  <c r="H23" i="2" l="1"/>
  <c r="I23" i="2" s="1"/>
  <c r="K23" i="2" s="1"/>
  <c r="B24" i="2" s="1"/>
  <c r="A24" i="2" s="1"/>
  <c r="E24" i="2" l="1"/>
  <c r="C24" i="2"/>
  <c r="D24" i="2" s="1"/>
  <c r="L24" i="2" l="1"/>
  <c r="M24" i="2" s="1"/>
  <c r="J24" i="2"/>
  <c r="F24" i="2"/>
  <c r="G24" i="2"/>
  <c r="H24" i="2" l="1"/>
  <c r="I24" i="2" s="1"/>
  <c r="K24" i="2" s="1"/>
  <c r="B25" i="2" s="1"/>
  <c r="E25" i="2" s="1"/>
  <c r="G25" i="2" l="1"/>
  <c r="J25" i="2"/>
  <c r="F25" i="2"/>
  <c r="A25" i="2"/>
  <c r="C25" i="2"/>
  <c r="D25" i="2" s="1"/>
  <c r="L25" i="2" l="1"/>
  <c r="M25" i="2" s="1"/>
  <c r="H25" i="2"/>
  <c r="I25" i="2" s="1"/>
  <c r="K25" i="2" s="1"/>
  <c r="B26" i="2" s="1"/>
  <c r="A26" i="2" s="1"/>
  <c r="E26" i="2" l="1"/>
  <c r="C26" i="2"/>
  <c r="D26" i="2" s="1"/>
  <c r="L26" i="2" l="1"/>
  <c r="M26" i="2" s="1"/>
  <c r="J26" i="2"/>
  <c r="G26" i="2"/>
  <c r="F26" i="2"/>
  <c r="H26" i="2" l="1"/>
  <c r="I26" i="2" s="1"/>
  <c r="K26" i="2" s="1"/>
  <c r="B27" i="2" s="1"/>
  <c r="E27" i="2" s="1"/>
  <c r="J27" i="2" l="1"/>
  <c r="G27" i="2"/>
  <c r="F27" i="2"/>
  <c r="C27" i="2"/>
  <c r="D27" i="2" s="1"/>
  <c r="A27" i="2"/>
  <c r="L27" i="2" l="1"/>
  <c r="M27" i="2" s="1"/>
  <c r="H27" i="2"/>
  <c r="I27" i="2" s="1"/>
  <c r="K27" i="2" s="1"/>
  <c r="B28" i="2" s="1"/>
  <c r="E28" i="2" s="1"/>
  <c r="G28" i="2" l="1"/>
  <c r="A28" i="2"/>
  <c r="C28" i="2"/>
  <c r="D28" i="2" s="1"/>
  <c r="F28" i="2"/>
  <c r="J28" i="2"/>
  <c r="L28" i="2" l="1"/>
  <c r="M28" i="2" s="1"/>
  <c r="H28" i="2"/>
  <c r="I28" i="2" s="1"/>
  <c r="K28" i="2" s="1"/>
  <c r="B29" i="2" s="1"/>
  <c r="A29" i="2" s="1"/>
  <c r="C29" i="2" l="1"/>
  <c r="D29" i="2" s="1"/>
  <c r="E29" i="2"/>
  <c r="L29" i="2" l="1"/>
  <c r="M29" i="2" s="1"/>
  <c r="J29" i="2"/>
  <c r="F29" i="2"/>
  <c r="G29" i="2"/>
  <c r="H29" i="2" l="1"/>
  <c r="I29" i="2" s="1"/>
  <c r="K29" i="2" s="1"/>
  <c r="B30" i="2" s="1"/>
  <c r="E30" i="2" s="1"/>
  <c r="J30" i="2" l="1"/>
  <c r="G30" i="2"/>
  <c r="F30" i="2"/>
  <c r="C30" i="2"/>
  <c r="D30" i="2" s="1"/>
  <c r="A30" i="2"/>
  <c r="L30" i="2" l="1"/>
  <c r="M30" i="2" s="1"/>
  <c r="H30" i="2"/>
  <c r="I30" i="2" s="1"/>
  <c r="K30" i="2" s="1"/>
  <c r="B31" i="2" s="1"/>
  <c r="E31" i="2" s="1"/>
  <c r="G31" i="2" l="1"/>
  <c r="A31" i="2"/>
  <c r="C31" i="2"/>
  <c r="D31" i="2" s="1"/>
  <c r="F31" i="2"/>
  <c r="J31" i="2"/>
  <c r="L31" i="2" l="1"/>
  <c r="M31" i="2" s="1"/>
  <c r="H31" i="2"/>
  <c r="I31" i="2" s="1"/>
  <c r="K31" i="2" s="1"/>
  <c r="B32" i="2" s="1"/>
  <c r="A32" i="2" s="1"/>
  <c r="C32" i="2" l="1"/>
  <c r="D32" i="2" s="1"/>
  <c r="E32" i="2"/>
  <c r="L32" i="2" l="1"/>
  <c r="M32" i="2" s="1"/>
  <c r="J32" i="2"/>
  <c r="F32" i="2"/>
  <c r="G32" i="2"/>
  <c r="H32" i="2" l="1"/>
  <c r="I32" i="2" s="1"/>
  <c r="K32" i="2" s="1"/>
  <c r="B33" i="2" s="1"/>
  <c r="E33" i="2" s="1"/>
  <c r="J33" i="2" l="1"/>
  <c r="F33" i="2"/>
  <c r="G33" i="2"/>
  <c r="C33" i="2"/>
  <c r="D33" i="2" s="1"/>
  <c r="A33" i="2"/>
  <c r="L33" i="2" l="1"/>
  <c r="M33" i="2" s="1"/>
  <c r="H33" i="2"/>
  <c r="I33" i="2" s="1"/>
  <c r="K33" i="2" s="1"/>
  <c r="B34" i="2" s="1"/>
  <c r="A34" i="2" s="1"/>
  <c r="C34" i="2" l="1"/>
  <c r="D34" i="2" s="1"/>
  <c r="E34" i="2"/>
  <c r="L34" i="2" l="1"/>
  <c r="M34" i="2" s="1"/>
  <c r="F34" i="2"/>
  <c r="J34" i="2"/>
  <c r="G34" i="2"/>
  <c r="H34" i="2" l="1"/>
  <c r="I34" i="2" s="1"/>
  <c r="K34" i="2" s="1"/>
  <c r="B35" i="2" s="1"/>
  <c r="E35" i="2" s="1"/>
  <c r="F35" i="2" l="1"/>
  <c r="A35" i="2"/>
  <c r="G35" i="2"/>
  <c r="C35" i="2"/>
  <c r="D35" i="2" s="1"/>
  <c r="J35" i="2"/>
  <c r="L35" i="2" l="1"/>
  <c r="M35" i="2" s="1"/>
  <c r="H35" i="2"/>
  <c r="I35" i="2" s="1"/>
  <c r="K35" i="2" s="1"/>
  <c r="B36" i="2" s="1"/>
  <c r="E36" i="2" s="1"/>
  <c r="F36" i="2" l="1"/>
  <c r="C36" i="2"/>
  <c r="D36" i="2" s="1"/>
  <c r="J36" i="2"/>
  <c r="G36" i="2"/>
  <c r="A36" i="2"/>
  <c r="H36" i="2" l="1"/>
  <c r="I36" i="2" s="1"/>
  <c r="K36" i="2" s="1"/>
  <c r="B37" i="2" s="1"/>
  <c r="A37" i="2" s="1"/>
  <c r="L36" i="2"/>
  <c r="M36" i="2" s="1"/>
  <c r="E37" i="2" l="1"/>
  <c r="C37" i="2"/>
  <c r="D37" i="2" s="1"/>
  <c r="L37" i="2" l="1"/>
  <c r="M37" i="2" s="1"/>
  <c r="G37" i="2"/>
  <c r="J37" i="2"/>
  <c r="F37" i="2"/>
  <c r="H37" i="2" l="1"/>
  <c r="I37" i="2" s="1"/>
  <c r="K37" i="2" s="1"/>
  <c r="B38" i="2" s="1"/>
  <c r="A38" i="2" s="1"/>
  <c r="C38" i="2" l="1"/>
  <c r="D38" i="2" s="1"/>
  <c r="E38" i="2"/>
  <c r="L38" i="2" l="1"/>
  <c r="M38" i="2" s="1"/>
  <c r="F38" i="2"/>
  <c r="J38" i="2"/>
  <c r="G38" i="2"/>
  <c r="H38" i="2" l="1"/>
  <c r="I38" i="2" s="1"/>
  <c r="K38" i="2" s="1"/>
  <c r="B39" i="2" s="1"/>
  <c r="E39" i="2" s="1"/>
  <c r="J39" i="2" l="1"/>
  <c r="G39" i="2"/>
  <c r="A39" i="2"/>
  <c r="C39" i="2"/>
  <c r="D39" i="2" s="1"/>
  <c r="L39" i="2" s="1"/>
  <c r="M39" i="2" s="1"/>
  <c r="F39" i="2"/>
  <c r="H39" i="2" l="1"/>
  <c r="I39" i="2" s="1"/>
  <c r="K39" i="2" s="1"/>
  <c r="B40" i="2" s="1"/>
  <c r="A40" i="2" s="1"/>
  <c r="E40" i="2" l="1"/>
  <c r="C40" i="2"/>
  <c r="D40" i="2" s="1"/>
  <c r="L40" i="2" s="1"/>
  <c r="M40" i="2" s="1"/>
  <c r="J40" i="2" l="1"/>
  <c r="F40" i="2"/>
  <c r="G40" i="2"/>
  <c r="H40" i="2" l="1"/>
  <c r="I40" i="2" s="1"/>
  <c r="K40" i="2" s="1"/>
  <c r="B41" i="2" s="1"/>
  <c r="A41" i="2" s="1"/>
  <c r="C41" i="2" l="1"/>
  <c r="D41" i="2" s="1"/>
  <c r="L41" i="2" s="1"/>
  <c r="M41" i="2" s="1"/>
  <c r="E41" i="2"/>
  <c r="F41" i="2" s="1"/>
  <c r="G41" i="2" l="1"/>
  <c r="H41" i="2" s="1"/>
  <c r="I41" i="2" s="1"/>
  <c r="J41" i="2"/>
  <c r="K41" i="2" l="1"/>
  <c r="B42" i="2" s="1"/>
  <c r="C42" i="2" s="1"/>
  <c r="D42" i="2" s="1"/>
  <c r="A42" i="2" l="1"/>
  <c r="E42" i="2"/>
  <c r="G42" i="2" s="1"/>
  <c r="L42" i="2"/>
  <c r="M42" i="2" s="1"/>
  <c r="F42" i="2" l="1"/>
  <c r="H42" i="2" s="1"/>
  <c r="I42" i="2" s="1"/>
  <c r="J42" i="2"/>
  <c r="K42" i="2" l="1"/>
  <c r="B43" i="2" s="1"/>
  <c r="E43" i="2" s="1"/>
  <c r="A43" i="2" l="1"/>
  <c r="C43" i="2"/>
  <c r="D43" i="2" s="1"/>
  <c r="L43" i="2" s="1"/>
  <c r="M43" i="2" s="1"/>
  <c r="F43" i="2"/>
  <c r="J43" i="2"/>
  <c r="G43" i="2"/>
  <c r="H43" i="2" l="1"/>
  <c r="I43" i="2" s="1"/>
  <c r="K43" i="2" s="1"/>
  <c r="B44" i="2" s="1"/>
  <c r="A44" i="2" s="1"/>
  <c r="C44" i="2" l="1"/>
  <c r="D44" i="2" s="1"/>
  <c r="E44" i="2"/>
  <c r="L44" i="2" l="1"/>
  <c r="M44" i="2" s="1"/>
  <c r="F44" i="2"/>
  <c r="G44" i="2"/>
  <c r="J44" i="2"/>
  <c r="H44" i="2" l="1"/>
  <c r="I44" i="2" s="1"/>
  <c r="K44" i="2" s="1"/>
  <c r="B45" i="2" s="1"/>
  <c r="E45" i="2" s="1"/>
  <c r="F45" i="2" l="1"/>
  <c r="A45" i="2"/>
  <c r="G45" i="2"/>
  <c r="C45" i="2"/>
  <c r="D45" i="2" s="1"/>
  <c r="J45" i="2"/>
  <c r="L45" i="2" l="1"/>
  <c r="M45" i="2" s="1"/>
  <c r="H45" i="2"/>
  <c r="I45" i="2" s="1"/>
  <c r="K45" i="2" s="1"/>
  <c r="B46" i="2" s="1"/>
  <c r="E46" i="2" s="1"/>
  <c r="J46" i="2" l="1"/>
  <c r="A46" i="2"/>
  <c r="C46" i="2"/>
  <c r="D46" i="2" s="1"/>
  <c r="G46" i="2"/>
  <c r="F46" i="2"/>
  <c r="L46" i="2" l="1"/>
  <c r="M46" i="2" s="1"/>
  <c r="H46" i="2"/>
  <c r="I46" i="2" s="1"/>
  <c r="K46" i="2" s="1"/>
  <c r="B47" i="2" s="1"/>
  <c r="E47" i="2" l="1"/>
  <c r="A47" i="2"/>
  <c r="C47" i="2"/>
  <c r="D47" i="2" s="1"/>
  <c r="L47" i="2" l="1"/>
  <c r="M47" i="2" s="1"/>
  <c r="J47" i="2"/>
  <c r="F47" i="2"/>
  <c r="G47" i="2"/>
  <c r="H47" i="2" l="1"/>
  <c r="I47" i="2" s="1"/>
  <c r="K47" i="2" s="1"/>
  <c r="B48" i="2" s="1"/>
  <c r="A48" i="2" l="1"/>
  <c r="C48" i="2"/>
  <c r="D48" i="2" s="1"/>
  <c r="E48" i="2"/>
  <c r="L48" i="2" l="1"/>
  <c r="M48" i="2" s="1"/>
  <c r="G48" i="2"/>
  <c r="J48" i="2"/>
  <c r="F48" i="2"/>
  <c r="H48" i="2" l="1"/>
  <c r="I48" i="2" s="1"/>
  <c r="K48" i="2" s="1"/>
  <c r="B49" i="2" s="1"/>
  <c r="A49" i="2" s="1"/>
  <c r="E49" i="2" l="1"/>
  <c r="C49" i="2"/>
  <c r="D49" i="2" s="1"/>
  <c r="L49" i="2" l="1"/>
  <c r="M49" i="2" s="1"/>
  <c r="F49" i="2"/>
  <c r="G49" i="2"/>
  <c r="J49" i="2"/>
  <c r="H49" i="2" l="1"/>
  <c r="I49" i="2" s="1"/>
  <c r="K49" i="2" s="1"/>
  <c r="B50" i="2" s="1"/>
  <c r="C50" i="2" s="1"/>
  <c r="D50" i="2" s="1"/>
  <c r="L50" i="2" l="1"/>
  <c r="M50" i="2" s="1"/>
  <c r="A50" i="2"/>
  <c r="E50" i="2"/>
  <c r="G50" i="2" l="1"/>
  <c r="F50" i="2"/>
  <c r="J50" i="2"/>
  <c r="H50" i="2" l="1"/>
  <c r="I50" i="2" s="1"/>
  <c r="K50" i="2" s="1"/>
  <c r="B51" i="2" s="1"/>
  <c r="E51" i="2" s="1"/>
  <c r="F51" i="2" l="1"/>
  <c r="A51" i="2"/>
  <c r="J51" i="2"/>
  <c r="G51" i="2"/>
  <c r="C51" i="2"/>
  <c r="D51" i="2" s="1"/>
  <c r="H51" i="2" l="1"/>
  <c r="I51" i="2" s="1"/>
  <c r="K51" i="2" s="1"/>
  <c r="B52" i="2" s="1"/>
  <c r="L51" i="2"/>
  <c r="M51" i="2" s="1"/>
  <c r="A52" i="2" l="1"/>
  <c r="E52" i="2"/>
  <c r="C52" i="2"/>
  <c r="D52" i="2" s="1"/>
  <c r="L52" i="2" l="1"/>
  <c r="M52" i="2" s="1"/>
  <c r="F52" i="2"/>
  <c r="J52" i="2"/>
  <c r="G52" i="2"/>
  <c r="H52" i="2" l="1"/>
  <c r="I52" i="2" s="1"/>
  <c r="K52" i="2" s="1"/>
  <c r="B53" i="2" s="1"/>
  <c r="E53" i="2" s="1"/>
  <c r="J53" i="2" l="1"/>
  <c r="C53" i="2"/>
  <c r="D53" i="2" s="1"/>
  <c r="A53" i="2"/>
  <c r="F53" i="2"/>
  <c r="G53" i="2"/>
  <c r="L53" i="2" l="1"/>
  <c r="M53" i="2" s="1"/>
  <c r="H53" i="2"/>
  <c r="I53" i="2" s="1"/>
  <c r="K53" i="2" s="1"/>
  <c r="B54" i="2" s="1"/>
  <c r="E54" i="2" s="1"/>
  <c r="J54" i="2" l="1"/>
  <c r="G54" i="2"/>
  <c r="F54" i="2"/>
  <c r="A54" i="2"/>
  <c r="C54" i="2"/>
  <c r="D54" i="2" s="1"/>
  <c r="L54" i="2" l="1"/>
  <c r="M54" i="2" s="1"/>
  <c r="H54" i="2"/>
  <c r="I54" i="2" s="1"/>
  <c r="K54" i="2" s="1"/>
  <c r="B55" i="2" s="1"/>
  <c r="E55" i="2" s="1"/>
  <c r="C55" i="2" l="1"/>
  <c r="D55" i="2" s="1"/>
  <c r="A55" i="2"/>
  <c r="G55" i="2"/>
  <c r="F55" i="2"/>
  <c r="J55" i="2"/>
  <c r="L55" i="2" l="1"/>
  <c r="M55" i="2" s="1"/>
  <c r="H55" i="2"/>
  <c r="I55" i="2" s="1"/>
  <c r="K55" i="2" s="1"/>
  <c r="B56" i="2" s="1"/>
  <c r="C56" i="2" s="1"/>
  <c r="D56" i="2" s="1"/>
  <c r="L56" i="2" s="1"/>
  <c r="M56" i="2" s="1"/>
  <c r="A56" i="2" l="1"/>
  <c r="E56" i="2"/>
  <c r="F56" i="2" l="1"/>
  <c r="G56" i="2"/>
  <c r="J56" i="2"/>
  <c r="H56" i="2" l="1"/>
  <c r="I56" i="2" s="1"/>
  <c r="K56" i="2" s="1"/>
  <c r="B57" i="2" s="1"/>
  <c r="A57" i="2" l="1"/>
  <c r="C57" i="2"/>
  <c r="D57" i="2" s="1"/>
  <c r="E57" i="2"/>
  <c r="L57" i="2" l="1"/>
  <c r="M57" i="2" s="1"/>
  <c r="J57" i="2"/>
  <c r="G57" i="2"/>
  <c r="F57" i="2"/>
  <c r="H57" i="2" l="1"/>
  <c r="I57" i="2" s="1"/>
  <c r="K57" i="2" s="1"/>
  <c r="B58" i="2" s="1"/>
  <c r="C58" i="2" s="1"/>
  <c r="D58" i="2" s="1"/>
  <c r="L58" i="2" l="1"/>
  <c r="M58" i="2" s="1"/>
  <c r="A58" i="2"/>
  <c r="E58" i="2"/>
  <c r="F58" i="2" l="1"/>
  <c r="G58" i="2"/>
  <c r="J58" i="2"/>
  <c r="H58" i="2" l="1"/>
  <c r="I58" i="2" s="1"/>
  <c r="K58" i="2" s="1"/>
  <c r="B59" i="2" s="1"/>
  <c r="E59" i="2" s="1"/>
  <c r="G59" i="2" l="1"/>
  <c r="A59" i="2"/>
  <c r="J59" i="2"/>
  <c r="F59" i="2"/>
  <c r="C59" i="2"/>
  <c r="D59" i="2" s="1"/>
  <c r="L59" i="2" l="1"/>
  <c r="M59" i="2" s="1"/>
  <c r="H59" i="2"/>
  <c r="I59" i="2" s="1"/>
  <c r="K59" i="2" s="1"/>
  <c r="B60" i="2" s="1"/>
  <c r="C60" i="2" s="1"/>
  <c r="D60" i="2" s="1"/>
  <c r="L60" i="2" l="1"/>
  <c r="M60" i="2" s="1"/>
  <c r="E60" i="2"/>
  <c r="A60" i="2"/>
  <c r="J60" i="2" l="1"/>
  <c r="F60" i="2"/>
  <c r="G60" i="2"/>
  <c r="H60" i="2" l="1"/>
  <c r="I60" i="2" s="1"/>
  <c r="K60" i="2" s="1"/>
  <c r="B61" i="2" s="1"/>
  <c r="C61" i="2" s="1"/>
  <c r="D61" i="2" s="1"/>
  <c r="L61" i="2" l="1"/>
  <c r="M61" i="2" s="1"/>
  <c r="A61" i="2"/>
  <c r="E61" i="2"/>
  <c r="G61" i="2" l="1"/>
  <c r="J61" i="2"/>
  <c r="F61" i="2"/>
  <c r="H61" i="2" l="1"/>
  <c r="I61" i="2" s="1"/>
  <c r="K61" i="2" s="1"/>
  <c r="B62" i="2" s="1"/>
  <c r="E62" i="2" s="1"/>
  <c r="G62" i="2" l="1"/>
  <c r="C62" i="2"/>
  <c r="D62" i="2" s="1"/>
  <c r="F62" i="2"/>
  <c r="A62" i="2"/>
  <c r="J62" i="2"/>
  <c r="L62" i="2" l="1"/>
  <c r="M62" i="2" s="1"/>
  <c r="H62" i="2"/>
  <c r="I62" i="2" s="1"/>
  <c r="K62" i="2" s="1"/>
  <c r="B63" i="2" s="1"/>
  <c r="A63" i="2" s="1"/>
  <c r="E63" i="2" l="1"/>
  <c r="C63" i="2"/>
  <c r="D63" i="2" s="1"/>
  <c r="L63" i="2" l="1"/>
  <c r="M63" i="2" s="1"/>
  <c r="F63" i="2"/>
  <c r="G63" i="2"/>
  <c r="J63" i="2"/>
  <c r="H63" i="2" l="1"/>
  <c r="I63" i="2" s="1"/>
  <c r="K63" i="2" s="1"/>
  <c r="B64" i="2" s="1"/>
  <c r="E64" i="2" s="1"/>
  <c r="F64" i="2" l="1"/>
  <c r="C64" i="2"/>
  <c r="D64" i="2" s="1"/>
  <c r="J64" i="2"/>
  <c r="G64" i="2"/>
  <c r="A64" i="2"/>
  <c r="H64" i="2" l="1"/>
  <c r="I64" i="2" s="1"/>
  <c r="K64" i="2" s="1"/>
  <c r="B65" i="2" s="1"/>
  <c r="A65" i="2" s="1"/>
  <c r="L64" i="2"/>
  <c r="M64" i="2" s="1"/>
  <c r="E65" i="2" l="1"/>
  <c r="C65" i="2"/>
  <c r="D65" i="2" s="1"/>
  <c r="L65" i="2" l="1"/>
  <c r="M65" i="2" s="1"/>
  <c r="G65" i="2"/>
  <c r="F65" i="2"/>
  <c r="J65" i="2"/>
  <c r="H65" i="2" l="1"/>
  <c r="I65" i="2" s="1"/>
  <c r="K65" i="2" s="1"/>
  <c r="B66" i="2" s="1"/>
  <c r="C66" i="2" s="1"/>
  <c r="D66" i="2" s="1"/>
  <c r="L66" i="2" l="1"/>
  <c r="M66" i="2" s="1"/>
  <c r="E66" i="2"/>
  <c r="A66" i="2"/>
  <c r="G66" i="2" l="1"/>
  <c r="J66" i="2"/>
  <c r="F66" i="2"/>
  <c r="H66" i="2" l="1"/>
  <c r="I66" i="2" s="1"/>
  <c r="K66" i="2" s="1"/>
  <c r="B67" i="2" s="1"/>
  <c r="C67" i="2" s="1"/>
  <c r="D67" i="2" s="1"/>
  <c r="L67" i="2" l="1"/>
  <c r="M67" i="2" s="1"/>
  <c r="E67" i="2"/>
  <c r="A67" i="2"/>
  <c r="G67" i="2" l="1"/>
  <c r="J67" i="2"/>
  <c r="F67" i="2"/>
  <c r="H67" i="2" l="1"/>
  <c r="I67" i="2" s="1"/>
  <c r="K67" i="2" s="1"/>
  <c r="B68" i="2" s="1"/>
  <c r="C68" i="2" s="1"/>
  <c r="D68" i="2" s="1"/>
  <c r="L68" i="2" l="1"/>
  <c r="M68" i="2" s="1"/>
  <c r="A68" i="2"/>
  <c r="E68" i="2"/>
  <c r="G68" i="2" l="1"/>
  <c r="F68" i="2"/>
  <c r="J68" i="2"/>
  <c r="H68" i="2" l="1"/>
  <c r="I68" i="2" s="1"/>
  <c r="K68" i="2" s="1"/>
  <c r="B69" i="2" s="1"/>
  <c r="A69" i="2" s="1"/>
  <c r="C69" i="2" l="1"/>
  <c r="D69" i="2" s="1"/>
  <c r="L69" i="2" s="1"/>
  <c r="M69" i="2" s="1"/>
  <c r="E69" i="2"/>
  <c r="F69" i="2" s="1"/>
  <c r="G69" i="2" l="1"/>
  <c r="H69" i="2" s="1"/>
  <c r="I69" i="2" s="1"/>
  <c r="J69" i="2"/>
  <c r="K69" i="2" l="1"/>
  <c r="B70" i="2" s="1"/>
  <c r="E70" i="2" s="1"/>
  <c r="A70" i="2" l="1"/>
  <c r="C70" i="2"/>
  <c r="D70" i="2" s="1"/>
  <c r="L70" i="2" s="1"/>
  <c r="M70" i="2" s="1"/>
  <c r="G70" i="2"/>
  <c r="J70" i="2"/>
  <c r="F70" i="2"/>
  <c r="H70" i="2" l="1"/>
  <c r="I70" i="2" s="1"/>
  <c r="K70" i="2" s="1"/>
  <c r="B71" i="2" s="1"/>
  <c r="C71" i="2" s="1"/>
  <c r="D71" i="2" s="1"/>
  <c r="L71" i="2" l="1"/>
  <c r="M71" i="2" s="1"/>
  <c r="E71" i="2"/>
  <c r="A71" i="2"/>
  <c r="J71" i="2" l="1"/>
  <c r="G71" i="2"/>
  <c r="F71" i="2"/>
  <c r="H71" i="2" l="1"/>
  <c r="I71" i="2" s="1"/>
  <c r="K71" i="2" s="1"/>
  <c r="B72" i="2" s="1"/>
  <c r="A72" i="2" s="1"/>
  <c r="C72" i="2" l="1"/>
  <c r="D72" i="2" s="1"/>
  <c r="E72" i="2"/>
  <c r="J72" i="2" s="1"/>
  <c r="F72" i="2" l="1"/>
  <c r="G72" i="2"/>
  <c r="L72" i="2"/>
  <c r="M72" i="2" s="1"/>
  <c r="H72" i="2" l="1"/>
  <c r="I72" i="2" s="1"/>
  <c r="K72" i="2" s="1"/>
  <c r="B73" i="2" s="1"/>
  <c r="C73" i="2" s="1"/>
  <c r="D73" i="2" s="1"/>
  <c r="E73" i="2" l="1"/>
  <c r="G73" i="2" s="1"/>
  <c r="A73" i="2"/>
  <c r="L73" i="2"/>
  <c r="M73" i="2" s="1"/>
  <c r="J73" i="2" l="1"/>
  <c r="F73" i="2"/>
  <c r="H73" i="2" s="1"/>
  <c r="I73" i="2" s="1"/>
  <c r="K73" i="2" l="1"/>
  <c r="B74" i="2" s="1"/>
  <c r="E74" i="2" s="1"/>
  <c r="J74" i="2" l="1"/>
  <c r="F74" i="2"/>
  <c r="A74" i="2"/>
  <c r="G74" i="2"/>
  <c r="C74" i="2"/>
  <c r="D74" i="2" s="1"/>
  <c r="L74" i="2" s="1"/>
  <c r="M74" i="2" s="1"/>
  <c r="H74" i="2" l="1"/>
  <c r="I74" i="2" s="1"/>
  <c r="K74" i="2" s="1"/>
  <c r="B75" i="2" s="1"/>
  <c r="E75" i="2" s="1"/>
  <c r="F75" i="2" l="1"/>
  <c r="G75" i="2"/>
  <c r="C75" i="2"/>
  <c r="D75" i="2" s="1"/>
  <c r="L75" i="2" s="1"/>
  <c r="M75" i="2" s="1"/>
  <c r="A75" i="2"/>
  <c r="J75" i="2"/>
  <c r="H75" i="2" l="1"/>
  <c r="I75" i="2" s="1"/>
  <c r="K75" i="2" s="1"/>
  <c r="B76" i="2" s="1"/>
  <c r="C76" i="2" l="1"/>
  <c r="D76" i="2" s="1"/>
  <c r="L76" i="2" s="1"/>
  <c r="M76" i="2" s="1"/>
  <c r="A76" i="2"/>
  <c r="E76" i="2"/>
  <c r="F76" i="2" l="1"/>
  <c r="G76" i="2"/>
  <c r="J76" i="2"/>
  <c r="H76" i="2" l="1"/>
  <c r="I76" i="2" s="1"/>
  <c r="K76" i="2"/>
  <c r="B77" i="2" s="1"/>
  <c r="C77" i="2" l="1"/>
  <c r="D77" i="2" s="1"/>
  <c r="L77" i="2" s="1"/>
  <c r="M77" i="2" s="1"/>
  <c r="E77" i="2"/>
  <c r="G77" i="2" s="1"/>
  <c r="A77" i="2"/>
  <c r="F77" i="2" l="1"/>
  <c r="H77" i="2" s="1"/>
  <c r="I77" i="2" s="1"/>
  <c r="K77" i="2" s="1"/>
  <c r="B78" i="2" s="1"/>
  <c r="C78" i="2" s="1"/>
  <c r="D78" i="2" s="1"/>
  <c r="J77" i="2"/>
  <c r="A78" i="2" l="1"/>
  <c r="L78" i="2"/>
  <c r="M78" i="2" s="1"/>
  <c r="E78" i="2"/>
  <c r="J78" i="2" s="1"/>
  <c r="G78" i="2" l="1"/>
  <c r="F78" i="2"/>
  <c r="H78" i="2" l="1"/>
  <c r="I78" i="2" s="1"/>
  <c r="K78" i="2" s="1"/>
  <c r="B79" i="2" s="1"/>
  <c r="C79" i="2" s="1"/>
  <c r="D79" i="2" s="1"/>
  <c r="L79" i="2" s="1"/>
  <c r="M79" i="2" s="1"/>
  <c r="A79" i="2" l="1"/>
  <c r="E79" i="2"/>
  <c r="F79" i="2" s="1"/>
  <c r="J79" i="2" l="1"/>
  <c r="G79" i="2"/>
  <c r="H79" i="2" s="1"/>
  <c r="I79" i="2" s="1"/>
  <c r="K79" i="2" l="1"/>
  <c r="B80" i="2" s="1"/>
  <c r="A80" i="2" l="1"/>
  <c r="C80" i="2"/>
  <c r="D80" i="2" s="1"/>
  <c r="L80" i="2" s="1"/>
  <c r="M80" i="2" s="1"/>
  <c r="E80" i="2"/>
  <c r="F80" i="2" s="1"/>
  <c r="J80" i="2" l="1"/>
  <c r="G80" i="2"/>
  <c r="H80" i="2" s="1"/>
  <c r="I80" i="2" s="1"/>
  <c r="K80" i="2" s="1"/>
  <c r="B81" i="2" s="1"/>
  <c r="A81" i="2" l="1"/>
  <c r="C81" i="2"/>
  <c r="D81" i="2" s="1"/>
  <c r="L81" i="2" s="1"/>
  <c r="M81" i="2" s="1"/>
  <c r="E81" i="2"/>
  <c r="J81" i="2" s="1"/>
  <c r="F81" i="2" l="1"/>
  <c r="G81" i="2"/>
  <c r="H81" i="2" l="1"/>
  <c r="I81" i="2" s="1"/>
  <c r="K81" i="2" s="1"/>
  <c r="B82" i="2" s="1"/>
  <c r="C82" i="2" l="1"/>
  <c r="D82" i="2" s="1"/>
  <c r="L82" i="2" s="1"/>
  <c r="M82" i="2" s="1"/>
  <c r="A82" i="2"/>
  <c r="E82" i="2"/>
  <c r="G82" i="2" s="1"/>
  <c r="H82" i="2" s="1"/>
  <c r="I82" i="2" s="1"/>
  <c r="K82" i="2" s="1"/>
  <c r="F82" i="2" l="1"/>
  <c r="J82" i="2"/>
  <c r="B83" i="2"/>
  <c r="A83" i="2" l="1"/>
  <c r="E83" i="2"/>
  <c r="J83" i="2" s="1"/>
  <c r="C83" i="2"/>
  <c r="D83" i="2" s="1"/>
  <c r="L83" i="2" s="1"/>
  <c r="M83" i="2" s="1"/>
  <c r="G83" i="2" l="1"/>
  <c r="F83" i="2"/>
  <c r="H83" i="2" l="1"/>
  <c r="I83" i="2" s="1"/>
  <c r="K83" i="2" s="1"/>
  <c r="B84" i="2" s="1"/>
  <c r="A84" i="2" l="1"/>
  <c r="E84" i="2"/>
  <c r="G84" i="2" s="1"/>
  <c r="C84" i="2"/>
  <c r="D84" i="2" s="1"/>
  <c r="L84" i="2" s="1"/>
  <c r="M84" i="2" s="1"/>
  <c r="J84" i="2" l="1"/>
  <c r="F84" i="2"/>
  <c r="H84" i="2" s="1"/>
  <c r="I84" i="2" s="1"/>
  <c r="K84" i="2" s="1"/>
  <c r="B85" i="2" s="1"/>
  <c r="C85" i="2" l="1"/>
  <c r="D85" i="2" s="1"/>
  <c r="L85" i="2" s="1"/>
  <c r="M85" i="2" s="1"/>
  <c r="A85" i="2"/>
  <c r="E85" i="2"/>
  <c r="G85" i="2" s="1"/>
  <c r="J85" i="2" l="1"/>
  <c r="F85" i="2"/>
  <c r="H85" i="2" s="1"/>
  <c r="I85" i="2" s="1"/>
  <c r="K85" i="2" s="1"/>
  <c r="B86" i="2" s="1"/>
  <c r="E86" i="2" l="1"/>
  <c r="J86" i="2" s="1"/>
  <c r="C86" i="2"/>
  <c r="D86" i="2" s="1"/>
  <c r="L86" i="2" s="1"/>
  <c r="M86" i="2" s="1"/>
  <c r="A86" i="2"/>
  <c r="G86" i="2" l="1"/>
  <c r="F86" i="2"/>
  <c r="H86" i="2" l="1"/>
  <c r="I86" i="2" s="1"/>
  <c r="K86" i="2" s="1"/>
  <c r="B87" i="2" s="1"/>
  <c r="C87" i="2" s="1"/>
  <c r="D87" i="2" s="1"/>
  <c r="L87" i="2" s="1"/>
  <c r="M87" i="2" s="1"/>
  <c r="A87" i="2" l="1"/>
  <c r="E87" i="2"/>
  <c r="J87" i="2" s="1"/>
  <c r="G87" i="2" l="1"/>
  <c r="F87" i="2"/>
  <c r="H87" i="2" s="1"/>
  <c r="I87" i="2" s="1"/>
  <c r="K87" i="2" s="1"/>
  <c r="B88" i="2" s="1"/>
  <c r="E88" i="2" l="1"/>
  <c r="F88" i="2" s="1"/>
  <c r="A88" i="2"/>
  <c r="G88" i="2"/>
  <c r="C88" i="2"/>
  <c r="D88" i="2" s="1"/>
  <c r="L88" i="2" s="1"/>
  <c r="M88" i="2" s="1"/>
  <c r="J88" i="2" l="1"/>
  <c r="H88" i="2"/>
  <c r="I88" i="2" s="1"/>
  <c r="K88" i="2" s="1"/>
  <c r="B89" i="2" s="1"/>
  <c r="E89" i="2" l="1"/>
  <c r="J89" i="2" s="1"/>
  <c r="C89" i="2"/>
  <c r="D89" i="2" s="1"/>
  <c r="L89" i="2" s="1"/>
  <c r="M89" i="2" s="1"/>
  <c r="F89" i="2"/>
  <c r="A89" i="2"/>
  <c r="G89" i="2" l="1"/>
  <c r="H89" i="2" s="1"/>
  <c r="I89" i="2" s="1"/>
  <c r="K89" i="2" s="1"/>
  <c r="B90" i="2" s="1"/>
  <c r="C90" i="2" l="1"/>
  <c r="D90" i="2" s="1"/>
  <c r="L90" i="2" s="1"/>
  <c r="M90" i="2" s="1"/>
  <c r="A90" i="2"/>
  <c r="E90" i="2"/>
  <c r="J90" i="2" s="1"/>
  <c r="F90" i="2"/>
  <c r="G90" i="2"/>
  <c r="H90" i="2" s="1"/>
  <c r="I90" i="2" s="1"/>
  <c r="K90" i="2" s="1"/>
  <c r="B91" i="2" s="1"/>
  <c r="E91" i="2" l="1"/>
  <c r="F91" i="2" s="1"/>
  <c r="C91" i="2"/>
  <c r="D91" i="2" s="1"/>
  <c r="A91" i="2"/>
  <c r="L91" i="2"/>
  <c r="M91" i="2" s="1"/>
  <c r="J91" i="2" l="1"/>
  <c r="G91" i="2"/>
  <c r="H91" i="2" s="1"/>
  <c r="I91" i="2" s="1"/>
  <c r="K91" i="2" s="1"/>
  <c r="B92" i="2" s="1"/>
  <c r="E92" i="2" l="1"/>
  <c r="G92" i="2" s="1"/>
  <c r="C92" i="2"/>
  <c r="D92" i="2" s="1"/>
  <c r="L92" i="2" s="1"/>
  <c r="M92" i="2" s="1"/>
  <c r="A92" i="2"/>
  <c r="J92" i="2" l="1"/>
  <c r="F92" i="2"/>
  <c r="H92" i="2" s="1"/>
  <c r="I92" i="2" s="1"/>
  <c r="K92" i="2" s="1"/>
  <c r="B93" i="2" s="1"/>
  <c r="E93" i="2" s="1"/>
  <c r="A93" i="2" l="1"/>
  <c r="C93" i="2"/>
  <c r="D93" i="2" s="1"/>
  <c r="L93" i="2" s="1"/>
  <c r="M93" i="2" s="1"/>
  <c r="J93" i="2"/>
  <c r="G93" i="2"/>
  <c r="F93" i="2"/>
  <c r="H93" i="2" l="1"/>
  <c r="I93" i="2" s="1"/>
  <c r="K93" i="2" s="1"/>
  <c r="B94" i="2" s="1"/>
  <c r="E94" i="2" s="1"/>
  <c r="G94" i="2" l="1"/>
  <c r="A94" i="2"/>
  <c r="C94" i="2"/>
  <c r="D94" i="2" s="1"/>
  <c r="F94" i="2"/>
  <c r="J94" i="2"/>
  <c r="H94" i="2" l="1"/>
  <c r="I94" i="2" s="1"/>
  <c r="K94" i="2" s="1"/>
  <c r="B95" i="2" s="1"/>
  <c r="L94" i="2"/>
  <c r="M94" i="2" s="1"/>
  <c r="E95" i="2" l="1"/>
  <c r="G95" i="2" s="1"/>
  <c r="A95" i="2"/>
  <c r="C95" i="2"/>
  <c r="D95" i="2" s="1"/>
  <c r="L95" i="2"/>
  <c r="M95" i="2" s="1"/>
  <c r="J95" i="2" l="1"/>
  <c r="F95" i="2"/>
  <c r="H95" i="2" s="1"/>
  <c r="I95" i="2" s="1"/>
  <c r="K95" i="2" s="1"/>
  <c r="B96" i="2" s="1"/>
  <c r="A96" i="2" s="1"/>
  <c r="E96" i="2" l="1"/>
  <c r="J96" i="2" s="1"/>
  <c r="C96" i="2"/>
  <c r="D96" i="2" s="1"/>
  <c r="L96" i="2" s="1"/>
  <c r="M96" i="2" s="1"/>
  <c r="G96" i="2" l="1"/>
  <c r="H96" i="2" s="1"/>
  <c r="I96" i="2" s="1"/>
  <c r="K96" i="2" s="1"/>
  <c r="B97" i="2" s="1"/>
  <c r="E97" i="2" s="1"/>
  <c r="F96" i="2"/>
  <c r="J97" i="2" l="1"/>
  <c r="G97" i="2"/>
  <c r="C97" i="2"/>
  <c r="D97" i="2" s="1"/>
  <c r="L97" i="2" s="1"/>
  <c r="M97" i="2" s="1"/>
  <c r="A97" i="2"/>
  <c r="F97" i="2"/>
  <c r="H97" i="2" l="1"/>
  <c r="I97" i="2" s="1"/>
  <c r="K97" i="2" s="1"/>
  <c r="B98" i="2" s="1"/>
  <c r="A98" i="2" s="1"/>
  <c r="E98" i="2" l="1"/>
  <c r="F98" i="2" s="1"/>
  <c r="G98" i="2"/>
  <c r="C98" i="2"/>
  <c r="D98" i="2" s="1"/>
  <c r="L98" i="2" s="1"/>
  <c r="M98" i="2" s="1"/>
  <c r="H98" i="2"/>
  <c r="I98" i="2" s="1"/>
  <c r="K98" i="2" s="1"/>
  <c r="B99" i="2" l="1"/>
  <c r="C99" i="2" s="1"/>
  <c r="D99" i="2" s="1"/>
  <c r="J98" i="2"/>
  <c r="L99" i="2" l="1"/>
  <c r="M99" i="2" s="1"/>
  <c r="A99" i="2"/>
  <c r="E99" i="2"/>
  <c r="G99" i="2" s="1"/>
  <c r="J99" i="2"/>
  <c r="F99" i="2"/>
  <c r="H99" i="2" s="1"/>
  <c r="I99" i="2" s="1"/>
  <c r="K99" i="2" s="1"/>
  <c r="B100" i="2" s="1"/>
  <c r="E100" i="2" s="1"/>
  <c r="A100" i="2" l="1"/>
  <c r="C100" i="2"/>
  <c r="D100" i="2" s="1"/>
  <c r="J100" i="2"/>
  <c r="F100" i="2"/>
  <c r="G100" i="2"/>
  <c r="L100" i="2" l="1"/>
  <c r="M100" i="2" s="1"/>
  <c r="H100" i="2"/>
  <c r="I100" i="2" s="1"/>
  <c r="K100" i="2" s="1"/>
  <c r="B101" i="2" s="1"/>
  <c r="E101" i="2" l="1"/>
  <c r="F101" i="2" s="1"/>
  <c r="C101" i="2"/>
  <c r="D101" i="2" s="1"/>
  <c r="A101" i="2"/>
  <c r="G101" i="2" l="1"/>
  <c r="J101" i="2"/>
  <c r="N99" i="2"/>
  <c r="H101" i="2"/>
  <c r="I101" i="2" s="1"/>
  <c r="K101" i="2" s="1"/>
  <c r="B102" i="2" s="1"/>
  <c r="E102" i="2" s="1"/>
  <c r="L101" i="2"/>
  <c r="M101" i="2" s="1"/>
  <c r="N100" i="2"/>
  <c r="C102" i="2" l="1"/>
  <c r="D102" i="2" s="1"/>
  <c r="N74" i="2" s="1"/>
  <c r="N97" i="2"/>
  <c r="O97" i="2" s="1"/>
  <c r="N95" i="2"/>
  <c r="P99" i="2"/>
  <c r="O99" i="2"/>
  <c r="L102" i="2"/>
  <c r="M102" i="2" s="1"/>
  <c r="G102" i="2"/>
  <c r="H102" i="2" s="1"/>
  <c r="I102" i="2" s="1"/>
  <c r="A102" i="2"/>
  <c r="N101" i="2"/>
  <c r="O100" i="2"/>
  <c r="P100" i="2"/>
  <c r="N4" i="2"/>
  <c r="N40" i="2"/>
  <c r="N57" i="2"/>
  <c r="N51" i="2"/>
  <c r="N78" i="2"/>
  <c r="N79" i="2"/>
  <c r="N91" i="2"/>
  <c r="N90" i="2"/>
  <c r="N102" i="2"/>
  <c r="O102" i="2" s="1"/>
  <c r="N5" i="2"/>
  <c r="N8" i="2"/>
  <c r="N60" i="2"/>
  <c r="N71" i="2"/>
  <c r="N72" i="2"/>
  <c r="N75" i="2"/>
  <c r="N10" i="2"/>
  <c r="O10" i="2" s="1"/>
  <c r="N16" i="2"/>
  <c r="N25" i="2"/>
  <c r="N33" i="2"/>
  <c r="N39" i="2"/>
  <c r="N41" i="2"/>
  <c r="N43" i="2"/>
  <c r="N49" i="2"/>
  <c r="N59" i="2"/>
  <c r="N76" i="2"/>
  <c r="N81" i="2"/>
  <c r="N85" i="2"/>
  <c r="N86" i="2"/>
  <c r="N92" i="2"/>
  <c r="N94" i="2"/>
  <c r="N98" i="2"/>
  <c r="N12" i="2"/>
  <c r="N11" i="2"/>
  <c r="N21" i="2"/>
  <c r="N22" i="2"/>
  <c r="N30" i="2"/>
  <c r="N29" i="2"/>
  <c r="O29" i="2" s="1"/>
  <c r="N32" i="2"/>
  <c r="N47" i="2"/>
  <c r="N50" i="2"/>
  <c r="N53" i="2"/>
  <c r="N62" i="2"/>
  <c r="N63" i="2"/>
  <c r="N64" i="2"/>
  <c r="N65" i="2"/>
  <c r="N66" i="2"/>
  <c r="N67" i="2"/>
  <c r="N68" i="2"/>
  <c r="O68" i="2" s="1"/>
  <c r="N69" i="2"/>
  <c r="N70" i="2"/>
  <c r="O70" i="2" s="1"/>
  <c r="J102" i="2"/>
  <c r="F102" i="2"/>
  <c r="N27" i="2" l="1"/>
  <c r="P27" i="2" s="1"/>
  <c r="N28" i="2"/>
  <c r="N24" i="2"/>
  <c r="O24" i="2" s="1"/>
  <c r="N15" i="2"/>
  <c r="N23" i="2"/>
  <c r="N19" i="2"/>
  <c r="O19" i="2" s="1"/>
  <c r="N9" i="2"/>
  <c r="O9" i="2" s="1"/>
  <c r="N56" i="2"/>
  <c r="P56" i="2" s="1"/>
  <c r="N38" i="2"/>
  <c r="N7" i="2"/>
  <c r="P7" i="2" s="1"/>
  <c r="N54" i="2"/>
  <c r="N88" i="2"/>
  <c r="P88" i="2" s="1"/>
  <c r="N6" i="2"/>
  <c r="P6" i="2" s="1"/>
  <c r="N77" i="2"/>
  <c r="N89" i="2"/>
  <c r="N83" i="2"/>
  <c r="N84" i="2"/>
  <c r="O84" i="2" s="1"/>
  <c r="N45" i="2"/>
  <c r="O45" i="2" s="1"/>
  <c r="N42" i="2"/>
  <c r="O42" i="2" s="1"/>
  <c r="N13" i="2"/>
  <c r="O13" i="2" s="1"/>
  <c r="N80" i="2"/>
  <c r="P80" i="2" s="1"/>
  <c r="N48" i="2"/>
  <c r="P48" i="2" s="1"/>
  <c r="P97" i="2"/>
  <c r="K102" i="2"/>
  <c r="B103" i="2" s="1"/>
  <c r="K103" i="2" s="1"/>
  <c r="N34" i="2"/>
  <c r="P34" i="2" s="1"/>
  <c r="P94" i="2"/>
  <c r="O94" i="2"/>
  <c r="N96" i="2"/>
  <c r="N93" i="2"/>
  <c r="N52" i="2"/>
  <c r="O52" i="2" s="1"/>
  <c r="N58" i="2"/>
  <c r="P58" i="2" s="1"/>
  <c r="N20" i="2"/>
  <c r="O20" i="2" s="1"/>
  <c r="N26" i="2"/>
  <c r="O26" i="2" s="1"/>
  <c r="N18" i="2"/>
  <c r="P18" i="2" s="1"/>
  <c r="N44" i="2"/>
  <c r="O44" i="2" s="1"/>
  <c r="N61" i="2"/>
  <c r="P61" i="2" s="1"/>
  <c r="N37" i="2"/>
  <c r="P37" i="2" s="1"/>
  <c r="N17" i="2"/>
  <c r="P17" i="2" s="1"/>
  <c r="N55" i="2"/>
  <c r="O55" i="2" s="1"/>
  <c r="N36" i="2"/>
  <c r="O36" i="2" s="1"/>
  <c r="N87" i="2"/>
  <c r="P87" i="2" s="1"/>
  <c r="N14" i="2"/>
  <c r="P14" i="2" s="1"/>
  <c r="N3" i="2"/>
  <c r="P3" i="2" s="1"/>
  <c r="N35" i="2"/>
  <c r="P35" i="2" s="1"/>
  <c r="N73" i="2"/>
  <c r="O73" i="2" s="1"/>
  <c r="N31" i="2"/>
  <c r="O31" i="2" s="1"/>
  <c r="N82" i="2"/>
  <c r="O82" i="2" s="1"/>
  <c r="N46" i="2"/>
  <c r="P46" i="2" s="1"/>
  <c r="O96" i="2"/>
  <c r="P96" i="2"/>
  <c r="P102" i="2"/>
  <c r="O101" i="2"/>
  <c r="P101" i="2"/>
  <c r="O95" i="2"/>
  <c r="P95" i="2"/>
  <c r="O98" i="2"/>
  <c r="P98" i="2"/>
  <c r="P91" i="2"/>
  <c r="O91" i="2"/>
  <c r="P57" i="2"/>
  <c r="O57" i="2"/>
  <c r="P4" i="2"/>
  <c r="O4" i="2"/>
  <c r="P53" i="2"/>
  <c r="O53" i="2"/>
  <c r="P47" i="2"/>
  <c r="O47" i="2"/>
  <c r="P32" i="2"/>
  <c r="O32" i="2"/>
  <c r="P12" i="2"/>
  <c r="O12" i="2"/>
  <c r="P62" i="2"/>
  <c r="O62" i="2"/>
  <c r="P92" i="2"/>
  <c r="O92" i="2"/>
  <c r="P78" i="2"/>
  <c r="O78" i="2"/>
  <c r="P74" i="2"/>
  <c r="O74" i="2"/>
  <c r="P86" i="2"/>
  <c r="O86" i="2"/>
  <c r="P45" i="2"/>
  <c r="P64" i="2"/>
  <c r="O64" i="2"/>
  <c r="P43" i="2"/>
  <c r="O43" i="2"/>
  <c r="P33" i="2"/>
  <c r="O33" i="2"/>
  <c r="P90" i="2"/>
  <c r="O90" i="2"/>
  <c r="P15" i="2"/>
  <c r="O15" i="2"/>
  <c r="P11" i="2"/>
  <c r="O11" i="2"/>
  <c r="P84" i="2"/>
  <c r="P30" i="2"/>
  <c r="O30" i="2"/>
  <c r="P75" i="2"/>
  <c r="O75" i="2"/>
  <c r="P76" i="2"/>
  <c r="O76" i="2"/>
  <c r="P65" i="2"/>
  <c r="O65" i="2"/>
  <c r="P40" i="2"/>
  <c r="O40" i="2"/>
  <c r="P28" i="2"/>
  <c r="O28" i="2"/>
  <c r="P16" i="2"/>
  <c r="O16" i="2"/>
  <c r="P41" i="2"/>
  <c r="O41" i="2"/>
  <c r="O56" i="2"/>
  <c r="P5" i="2"/>
  <c r="O5" i="2"/>
  <c r="P81" i="2"/>
  <c r="O81" i="2"/>
  <c r="P25" i="2"/>
  <c r="O25" i="2"/>
  <c r="P77" i="2"/>
  <c r="O77" i="2"/>
  <c r="P67" i="2"/>
  <c r="O67" i="2"/>
  <c r="P72" i="2"/>
  <c r="O72" i="2"/>
  <c r="P51" i="2"/>
  <c r="O51" i="2"/>
  <c r="P66" i="2"/>
  <c r="O66" i="2"/>
  <c r="P22" i="2"/>
  <c r="O22" i="2"/>
  <c r="P59" i="2"/>
  <c r="O59" i="2"/>
  <c r="P60" i="2"/>
  <c r="O60" i="2"/>
  <c r="P85" i="2"/>
  <c r="O85" i="2"/>
  <c r="P69" i="2"/>
  <c r="O69" i="2"/>
  <c r="P21" i="2"/>
  <c r="O21" i="2"/>
  <c r="P49" i="2"/>
  <c r="O49" i="2"/>
  <c r="P52" i="2"/>
  <c r="P8" i="2"/>
  <c r="O8" i="2"/>
  <c r="P79" i="2"/>
  <c r="O79" i="2"/>
  <c r="O83" i="2"/>
  <c r="P83" i="2"/>
  <c r="P71" i="2"/>
  <c r="O71" i="2"/>
  <c r="P63" i="2"/>
  <c r="O63" i="2"/>
  <c r="P50" i="2"/>
  <c r="O50" i="2"/>
  <c r="P54" i="2"/>
  <c r="O54" i="2"/>
  <c r="P82" i="2"/>
  <c r="P39" i="2"/>
  <c r="O39" i="2"/>
  <c r="P23" i="2"/>
  <c r="O23" i="2"/>
  <c r="P38" i="2"/>
  <c r="O38" i="2"/>
  <c r="P68" i="2"/>
  <c r="P24" i="2"/>
  <c r="P9" i="2"/>
  <c r="P10" i="2"/>
  <c r="P70" i="2"/>
  <c r="P29" i="2"/>
  <c r="P42" i="2" l="1"/>
  <c r="P19" i="2"/>
  <c r="O6" i="2"/>
  <c r="O7" i="2"/>
  <c r="O27" i="2"/>
  <c r="P13" i="2"/>
  <c r="O48" i="2"/>
  <c r="O89" i="2"/>
  <c r="P89" i="2"/>
  <c r="O80" i="2"/>
  <c r="O88" i="2"/>
  <c r="D103" i="2"/>
  <c r="O34" i="2"/>
  <c r="O17" i="2"/>
  <c r="P36" i="2"/>
  <c r="O87" i="2"/>
  <c r="F103" i="2"/>
  <c r="J103" i="2"/>
  <c r="P44" i="2"/>
  <c r="O18" i="2"/>
  <c r="M103" i="2"/>
  <c r="H103" i="2"/>
  <c r="L103" i="2"/>
  <c r="I103" i="2"/>
  <c r="E103" i="2"/>
  <c r="O103" i="2" s="1"/>
  <c r="G103" i="2"/>
  <c r="P55" i="2"/>
  <c r="C103" i="2"/>
  <c r="A103" i="2"/>
  <c r="O14" i="2"/>
  <c r="O58" i="2"/>
  <c r="P20" i="2"/>
  <c r="O93" i="2"/>
  <c r="P93" i="2"/>
  <c r="P31" i="2"/>
  <c r="P73" i="2"/>
  <c r="O37" i="2"/>
  <c r="O35" i="2"/>
  <c r="O3" i="2"/>
  <c r="O46" i="2"/>
  <c r="O61" i="2"/>
  <c r="P26" i="2"/>
  <c r="B104" i="2" l="1"/>
  <c r="L104" i="2" s="1"/>
  <c r="N103" i="2"/>
  <c r="P103" i="2"/>
  <c r="I104" i="2" l="1"/>
  <c r="C104" i="2"/>
  <c r="H104" i="2"/>
  <c r="G104" i="2"/>
  <c r="M104" i="2"/>
  <c r="A104" i="2"/>
  <c r="J104" i="2"/>
  <c r="D104" i="2"/>
  <c r="F104" i="2"/>
  <c r="E104" i="2"/>
  <c r="O104" i="2" s="1"/>
  <c r="K104" i="2"/>
  <c r="B105" i="2"/>
  <c r="N104" i="2" l="1"/>
  <c r="P104" i="2"/>
  <c r="K105" i="2"/>
  <c r="F105" i="2"/>
  <c r="I105" i="2"/>
  <c r="C105" i="2"/>
  <c r="D105" i="2"/>
  <c r="E105" i="2"/>
  <c r="O105" i="2" s="1"/>
  <c r="A105" i="2"/>
  <c r="H105" i="2"/>
  <c r="M105" i="2"/>
  <c r="L105" i="2"/>
  <c r="G105" i="2"/>
  <c r="J105" i="2"/>
  <c r="N105" i="2" l="1"/>
  <c r="P105" i="2"/>
  <c r="B106" i="2"/>
  <c r="M106" i="2" s="1"/>
  <c r="I106" i="2" l="1"/>
  <c r="C106" i="2"/>
  <c r="H106" i="2"/>
  <c r="G106" i="2"/>
  <c r="D106" i="2"/>
  <c r="L106" i="2"/>
  <c r="A106" i="2"/>
  <c r="K106" i="2"/>
  <c r="F106" i="2"/>
  <c r="E106" i="2"/>
  <c r="O106" i="2" s="1"/>
  <c r="J106" i="2"/>
  <c r="N106" i="2" l="1"/>
  <c r="P106" i="2"/>
  <c r="B107" i="2"/>
  <c r="F107" i="2" s="1"/>
  <c r="K107" i="2" l="1"/>
  <c r="E107" i="2"/>
  <c r="O107" i="2" s="1"/>
  <c r="L107" i="2"/>
  <c r="H107" i="2"/>
  <c r="A107" i="2"/>
  <c r="I107" i="2"/>
  <c r="D107" i="2"/>
  <c r="J107" i="2"/>
  <c r="G107" i="2"/>
  <c r="C107" i="2"/>
  <c r="M107" i="2"/>
  <c r="N107" i="2" l="1"/>
  <c r="P107" i="2"/>
  <c r="B108" i="2"/>
  <c r="J108" i="2" s="1"/>
  <c r="H108" i="2" l="1"/>
  <c r="E108" i="2"/>
  <c r="O108" i="2" s="1"/>
  <c r="G108" i="2"/>
  <c r="M108" i="2"/>
  <c r="I108" i="2"/>
  <c r="F108" i="2"/>
  <c r="D108" i="2"/>
  <c r="A108" i="2"/>
  <c r="C108" i="2"/>
  <c r="L108" i="2"/>
  <c r="K108" i="2"/>
  <c r="N108" i="2" l="1"/>
  <c r="P108" i="2"/>
  <c r="B109" i="2"/>
  <c r="F109" i="2" s="1"/>
  <c r="C109" i="2" l="1"/>
  <c r="L109" i="2"/>
  <c r="M109" i="2"/>
  <c r="D109" i="2"/>
  <c r="H109" i="2"/>
  <c r="K109" i="2"/>
  <c r="E109" i="2"/>
  <c r="O109" i="2" s="1"/>
  <c r="G109" i="2"/>
  <c r="J109" i="2"/>
  <c r="A109" i="2"/>
  <c r="I109" i="2"/>
  <c r="N109" i="2" l="1"/>
  <c r="P109" i="2"/>
  <c r="B110" i="2"/>
  <c r="L110" i="2" s="1"/>
  <c r="G110" i="2" l="1"/>
  <c r="I110" i="2"/>
  <c r="C110" i="2"/>
  <c r="J110" i="2"/>
  <c r="M110" i="2"/>
  <c r="H110" i="2"/>
  <c r="K110" i="2"/>
  <c r="F110" i="2"/>
  <c r="D110" i="2"/>
  <c r="E110" i="2"/>
  <c r="O110" i="2" s="1"/>
  <c r="A110" i="2"/>
  <c r="N110" i="2" l="1"/>
  <c r="P110" i="2"/>
  <c r="B111" i="2"/>
  <c r="D111" i="2" s="1"/>
  <c r="H111" i="2" l="1"/>
  <c r="J111" i="2"/>
  <c r="K111" i="2"/>
  <c r="E111" i="2"/>
  <c r="I111" i="2"/>
  <c r="C111" i="2"/>
  <c r="A111" i="2"/>
  <c r="L111" i="2"/>
  <c r="M111" i="2"/>
  <c r="G111" i="2"/>
  <c r="F111" i="2"/>
  <c r="P111" i="2" l="1"/>
  <c r="O111" i="2"/>
  <c r="N111" i="2"/>
  <c r="B112" i="2"/>
  <c r="F112" i="2" s="1"/>
  <c r="K112" i="2" l="1"/>
  <c r="I112" i="2"/>
  <c r="E112" i="2"/>
  <c r="J112" i="2"/>
  <c r="H112" i="2"/>
  <c r="A112" i="2"/>
  <c r="M112" i="2"/>
  <c r="C112" i="2"/>
  <c r="D112" i="2"/>
  <c r="G112" i="2"/>
  <c r="L112" i="2"/>
  <c r="P112" i="2" l="1"/>
  <c r="O112" i="2"/>
  <c r="B113" i="2"/>
  <c r="K113" i="2" s="1"/>
  <c r="N112" i="2"/>
  <c r="D113" i="2" l="1"/>
  <c r="L113" i="2"/>
  <c r="E113" i="2"/>
  <c r="O113" i="2" s="1"/>
  <c r="G113" i="2"/>
  <c r="M113" i="2"/>
  <c r="A113" i="2"/>
  <c r="H113" i="2"/>
  <c r="I113" i="2"/>
  <c r="J113" i="2"/>
  <c r="F113" i="2"/>
  <c r="C113" i="2"/>
  <c r="B114" i="2" l="1"/>
  <c r="J114" i="2" s="1"/>
  <c r="P113" i="2"/>
  <c r="N113" i="2"/>
  <c r="F114" i="2" l="1"/>
  <c r="G114" i="2"/>
  <c r="L114" i="2"/>
  <c r="A114" i="2"/>
  <c r="E114" i="2"/>
  <c r="O114" i="2" s="1"/>
  <c r="M114" i="2"/>
  <c r="K114" i="2"/>
  <c r="D114" i="2"/>
  <c r="C114" i="2"/>
  <c r="I114" i="2"/>
  <c r="H114" i="2"/>
  <c r="B115" i="2" l="1"/>
  <c r="F115" i="2" s="1"/>
  <c r="P114" i="2"/>
  <c r="N114" i="2"/>
  <c r="I115" i="2" l="1"/>
  <c r="H115" i="2"/>
  <c r="G115" i="2"/>
  <c r="D115" i="2"/>
  <c r="E115" i="2"/>
  <c r="O115" i="2" s="1"/>
  <c r="L115" i="2"/>
  <c r="A115" i="2"/>
  <c r="M115" i="2"/>
  <c r="J115" i="2"/>
  <c r="K115" i="2"/>
  <c r="C115" i="2"/>
  <c r="B116" i="2" l="1"/>
  <c r="E116" i="2" s="1"/>
  <c r="P116" i="2" s="1"/>
  <c r="P115" i="2"/>
  <c r="N115" i="2"/>
  <c r="A116" i="2" l="1"/>
  <c r="M116" i="2"/>
  <c r="J116" i="2"/>
  <c r="G116" i="2"/>
  <c r="K116" i="2"/>
  <c r="L116" i="2"/>
  <c r="F116" i="2"/>
  <c r="H116" i="2"/>
  <c r="N116" i="2"/>
  <c r="I116" i="2"/>
  <c r="C116" i="2"/>
  <c r="D116" i="2"/>
  <c r="B117" i="2" s="1"/>
  <c r="I117" i="2" s="1"/>
  <c r="O116" i="2"/>
  <c r="K117" i="2" l="1"/>
  <c r="L117" i="2"/>
  <c r="M117" i="2"/>
  <c r="E117" i="2"/>
  <c r="O117" i="2" s="1"/>
  <c r="H117" i="2"/>
  <c r="G117" i="2"/>
  <c r="J117" i="2"/>
  <c r="A117" i="2"/>
  <c r="D117" i="2"/>
  <c r="F117" i="2"/>
  <c r="C117" i="2"/>
  <c r="B118" i="2" l="1"/>
  <c r="I118" i="2" s="1"/>
  <c r="N117" i="2"/>
  <c r="P117" i="2"/>
  <c r="D118" i="2" l="1"/>
  <c r="F118" i="2"/>
  <c r="M118" i="2"/>
  <c r="E118" i="2"/>
  <c r="O118" i="2" s="1"/>
  <c r="L118" i="2"/>
  <c r="H118" i="2"/>
  <c r="J118" i="2"/>
  <c r="K118" i="2"/>
  <c r="A118" i="2"/>
  <c r="C118" i="2"/>
  <c r="G118" i="2"/>
  <c r="B119" i="2" l="1"/>
  <c r="C119" i="2" s="1"/>
  <c r="P118" i="2"/>
  <c r="N118" i="2"/>
  <c r="J119" i="2" l="1"/>
  <c r="K119" i="2"/>
  <c r="D119" i="2"/>
  <c r="E119" i="2"/>
  <c r="M119" i="2"/>
  <c r="A119" i="2"/>
  <c r="G119" i="2"/>
  <c r="I119" i="2"/>
  <c r="F119" i="2"/>
  <c r="L119" i="2"/>
  <c r="H119" i="2"/>
  <c r="B120" i="2" l="1"/>
  <c r="F120" i="2" s="1"/>
  <c r="O119" i="2"/>
  <c r="N119" i="2"/>
  <c r="P119" i="2"/>
  <c r="K120" i="2" l="1"/>
  <c r="D120" i="2"/>
  <c r="G120" i="2"/>
  <c r="E120" i="2"/>
  <c r="J120" i="2"/>
  <c r="M120" i="2"/>
  <c r="H120" i="2"/>
  <c r="L120" i="2"/>
  <c r="A120" i="2"/>
  <c r="C120" i="2"/>
  <c r="I120" i="2"/>
  <c r="B121" i="2" l="1"/>
  <c r="F121" i="2" s="1"/>
  <c r="N120" i="2"/>
  <c r="O120" i="2"/>
  <c r="P120" i="2"/>
  <c r="H121" i="2" l="1"/>
  <c r="J121" i="2"/>
  <c r="D121" i="2"/>
  <c r="M121" i="2"/>
  <c r="K121" i="2"/>
  <c r="A121" i="2"/>
  <c r="G121" i="2"/>
  <c r="I121" i="2"/>
  <c r="E121" i="2"/>
  <c r="O121" i="2" s="1"/>
  <c r="L121" i="2"/>
  <c r="C121" i="2"/>
  <c r="B122" i="2"/>
  <c r="C122" i="2" s="1"/>
  <c r="P121" i="2"/>
  <c r="N121" i="2"/>
  <c r="F122" i="2" l="1"/>
  <c r="J122" i="2"/>
  <c r="G122" i="2"/>
  <c r="H122" i="2"/>
  <c r="K122" i="2"/>
  <c r="E122" i="2"/>
  <c r="A122" i="2"/>
  <c r="D122" i="2"/>
  <c r="L122" i="2"/>
  <c r="M122" i="2"/>
  <c r="I122" i="2"/>
  <c r="B123" i="2"/>
  <c r="E123" i="2" s="1"/>
  <c r="O123" i="2" s="1"/>
  <c r="N122" i="2"/>
  <c r="M123" i="2" l="1"/>
  <c r="P123" i="2"/>
  <c r="N123" i="2"/>
  <c r="O122" i="2"/>
  <c r="P122" i="2"/>
  <c r="A123" i="2"/>
  <c r="H123" i="2"/>
  <c r="G123" i="2"/>
  <c r="F123" i="2"/>
  <c r="L123" i="2"/>
  <c r="D123" i="2"/>
  <c r="K123" i="2"/>
  <c r="I123" i="2"/>
  <c r="J123" i="2"/>
  <c r="C123" i="2"/>
  <c r="B124" i="2" l="1"/>
  <c r="G124" i="2" s="1"/>
  <c r="H124" i="2" l="1"/>
  <c r="E124" i="2"/>
  <c r="O124" i="2" s="1"/>
  <c r="D124" i="2"/>
  <c r="A124" i="2"/>
  <c r="C124" i="2"/>
  <c r="J124" i="2"/>
  <c r="F124" i="2"/>
  <c r="L124" i="2"/>
  <c r="I124" i="2"/>
  <c r="M124" i="2"/>
  <c r="K124" i="2"/>
  <c r="N124" i="2"/>
  <c r="P124" i="2"/>
  <c r="B125" i="2"/>
  <c r="L125" i="2" s="1"/>
  <c r="M125" i="2" l="1"/>
  <c r="A125" i="2"/>
  <c r="J125" i="2"/>
  <c r="K125" i="2"/>
  <c r="I125" i="2"/>
  <c r="E125" i="2"/>
  <c r="O125" i="2" s="1"/>
  <c r="G125" i="2"/>
  <c r="D125" i="2"/>
  <c r="F125" i="2"/>
  <c r="C125" i="2"/>
  <c r="H125" i="2"/>
  <c r="N125" i="2" l="1"/>
  <c r="P125" i="2"/>
  <c r="B126" i="2"/>
  <c r="E126" i="2" s="1"/>
  <c r="O126" i="2" s="1"/>
  <c r="N126" i="2" l="1"/>
  <c r="P126" i="2"/>
  <c r="H126" i="2"/>
  <c r="K126" i="2"/>
  <c r="F126" i="2"/>
  <c r="L126" i="2"/>
  <c r="A126" i="2"/>
  <c r="C126" i="2"/>
  <c r="J126" i="2"/>
  <c r="G126" i="2"/>
  <c r="D126" i="2"/>
  <c r="M126" i="2"/>
  <c r="I126" i="2"/>
  <c r="B127" i="2" l="1"/>
  <c r="J127" i="2" s="1"/>
  <c r="K127" i="2" l="1"/>
  <c r="I127" i="2"/>
  <c r="D127" i="2"/>
  <c r="M127" i="2"/>
  <c r="F127" i="2"/>
  <c r="E127" i="2"/>
  <c r="L127" i="2"/>
  <c r="H127" i="2"/>
  <c r="A127" i="2"/>
  <c r="G127" i="2"/>
  <c r="C127" i="2"/>
  <c r="P127" i="2" l="1"/>
  <c r="O127" i="2"/>
  <c r="N127" i="2"/>
  <c r="B128" i="2"/>
  <c r="D128" i="2" s="1"/>
  <c r="M128" i="2" l="1"/>
  <c r="C128" i="2"/>
  <c r="A128" i="2"/>
  <c r="H128" i="2"/>
  <c r="I128" i="2"/>
  <c r="F128" i="2"/>
  <c r="G128" i="2"/>
  <c r="E128" i="2"/>
  <c r="O128" i="2" s="1"/>
  <c r="J128" i="2"/>
  <c r="L128" i="2"/>
  <c r="K128" i="2"/>
  <c r="N128" i="2" l="1"/>
  <c r="P128" i="2"/>
  <c r="B129" i="2"/>
  <c r="L129" i="2" s="1"/>
  <c r="C129" i="2" l="1"/>
  <c r="M129" i="2"/>
  <c r="A129" i="2"/>
  <c r="K129" i="2"/>
  <c r="D129" i="2"/>
  <c r="I129" i="2"/>
  <c r="J129" i="2"/>
  <c r="E129" i="2"/>
  <c r="G129" i="2"/>
  <c r="F129" i="2"/>
  <c r="H129" i="2"/>
  <c r="P129" i="2" l="1"/>
  <c r="O129" i="2"/>
  <c r="B130" i="2"/>
  <c r="I130" i="2" s="1"/>
  <c r="N129" i="2"/>
  <c r="M130" i="2" l="1"/>
  <c r="C130" i="2"/>
  <c r="A130" i="2"/>
  <c r="E130" i="2"/>
  <c r="O130" i="2" s="1"/>
  <c r="H130" i="2"/>
  <c r="D130" i="2"/>
  <c r="L130" i="2"/>
  <c r="F130" i="2"/>
  <c r="G130" i="2"/>
  <c r="J130" i="2"/>
  <c r="K130" i="2"/>
  <c r="B131" i="2" l="1"/>
  <c r="D131" i="2" s="1"/>
  <c r="N130" i="2"/>
  <c r="P130" i="2"/>
  <c r="F131" i="2" l="1"/>
  <c r="M131" i="2"/>
  <c r="H131" i="2"/>
  <c r="K131" i="2"/>
  <c r="C131" i="2"/>
  <c r="J131" i="2"/>
  <c r="I131" i="2"/>
  <c r="G131" i="2"/>
  <c r="A131" i="2"/>
  <c r="L131" i="2"/>
  <c r="E131" i="2"/>
  <c r="O131" i="2" s="1"/>
  <c r="P131" i="2" l="1"/>
  <c r="B132" i="2"/>
  <c r="K132" i="2" s="1"/>
  <c r="N131" i="2"/>
  <c r="M132" i="2" l="1"/>
  <c r="L132" i="2"/>
  <c r="C132" i="2"/>
  <c r="I132" i="2"/>
  <c r="A132" i="2"/>
  <c r="E132" i="2"/>
  <c r="O132" i="2" s="1"/>
  <c r="F132" i="2"/>
  <c r="G132" i="2"/>
  <c r="J132" i="2"/>
  <c r="H132" i="2"/>
  <c r="D132" i="2"/>
  <c r="P132" i="2" l="1"/>
  <c r="N132" i="2"/>
  <c r="B133" i="2"/>
  <c r="C133" i="2" s="1"/>
  <c r="L133" i="2" l="1"/>
  <c r="H133" i="2"/>
  <c r="E133" i="2"/>
  <c r="O133" i="2" s="1"/>
  <c r="F133" i="2"/>
  <c r="D133" i="2"/>
  <c r="M133" i="2"/>
  <c r="J133" i="2"/>
  <c r="I133" i="2"/>
  <c r="K133" i="2"/>
  <c r="A133" i="2"/>
  <c r="G133" i="2"/>
  <c r="N133" i="2"/>
  <c r="P133" i="2"/>
  <c r="B134" i="2" l="1"/>
  <c r="G134" i="2" s="1"/>
  <c r="C134" i="2"/>
  <c r="M134" i="2"/>
  <c r="J134" i="2"/>
  <c r="I134" i="2"/>
  <c r="H134" i="2"/>
  <c r="D134" i="2"/>
  <c r="F134" i="2"/>
  <c r="A134" i="2"/>
  <c r="L134" i="2"/>
  <c r="E134" i="2" l="1"/>
  <c r="O134" i="2" s="1"/>
  <c r="K134" i="2"/>
  <c r="B135" i="2" s="1"/>
  <c r="D135" i="2" s="1"/>
  <c r="P134" i="2" l="1"/>
  <c r="N134" i="2"/>
  <c r="H135" i="2"/>
  <c r="F135" i="2"/>
  <c r="A135" i="2"/>
  <c r="G135" i="2"/>
  <c r="E135" i="2"/>
  <c r="O135" i="2" s="1"/>
  <c r="J135" i="2"/>
  <c r="K135" i="2"/>
  <c r="I135" i="2"/>
  <c r="C135" i="2"/>
  <c r="M135" i="2"/>
  <c r="L135" i="2"/>
  <c r="N135" i="2" l="1"/>
  <c r="P135" i="2"/>
  <c r="B136" i="2"/>
  <c r="D136" i="2" s="1"/>
  <c r="F136" i="2" l="1"/>
  <c r="I136" i="2"/>
  <c r="G136" i="2"/>
  <c r="L136" i="2"/>
  <c r="J136" i="2"/>
  <c r="K136" i="2"/>
  <c r="A136" i="2"/>
  <c r="M136" i="2"/>
  <c r="C136" i="2"/>
  <c r="H136" i="2"/>
  <c r="E136" i="2"/>
  <c r="P136" i="2" l="1"/>
  <c r="O136" i="2"/>
  <c r="N136" i="2"/>
  <c r="B137" i="2"/>
  <c r="F137" i="2" l="1"/>
  <c r="I137" i="2"/>
  <c r="E137" i="2"/>
  <c r="O137" i="2" s="1"/>
  <c r="H137" i="2"/>
  <c r="G137" i="2"/>
  <c r="L137" i="2"/>
  <c r="A137" i="2"/>
  <c r="C137" i="2"/>
  <c r="K137" i="2"/>
  <c r="D137" i="2"/>
  <c r="M137" i="2"/>
  <c r="J137" i="2"/>
  <c r="B138" i="2" l="1"/>
  <c r="L138" i="2" s="1"/>
  <c r="N137" i="2"/>
  <c r="P137" i="2"/>
  <c r="J138" i="2" l="1"/>
  <c r="D138" i="2"/>
  <c r="K138" i="2"/>
  <c r="F138" i="2"/>
  <c r="G138" i="2"/>
  <c r="C138" i="2"/>
  <c r="E138" i="2"/>
  <c r="O138" i="2" s="1"/>
  <c r="A138" i="2"/>
  <c r="I138" i="2"/>
  <c r="H138" i="2"/>
  <c r="M138" i="2"/>
  <c r="N138" i="2"/>
  <c r="P138" i="2"/>
  <c r="B139" i="2" l="1"/>
  <c r="H139" i="2" s="1"/>
  <c r="C139" i="2"/>
  <c r="E139" i="2"/>
  <c r="O139" i="2" s="1"/>
  <c r="M139" i="2" l="1"/>
  <c r="D139" i="2"/>
  <c r="I139" i="2"/>
  <c r="A139" i="2"/>
  <c r="L139" i="2"/>
  <c r="F139" i="2"/>
  <c r="K139" i="2"/>
  <c r="J139" i="2"/>
  <c r="G139" i="2"/>
  <c r="P139" i="2"/>
  <c r="N139" i="2"/>
  <c r="B140" i="2" l="1"/>
  <c r="E140" i="2" s="1"/>
  <c r="O140" i="2" s="1"/>
  <c r="A140" i="2"/>
  <c r="C140" i="2"/>
  <c r="H140" i="2"/>
  <c r="G140" i="2"/>
  <c r="D140" i="2"/>
  <c r="M140" i="2"/>
  <c r="J140" i="2"/>
  <c r="F140" i="2"/>
  <c r="K140" i="2"/>
  <c r="I140" i="2"/>
  <c r="L140" i="2"/>
  <c r="N140" i="2"/>
  <c r="P140" i="2"/>
  <c r="B141" i="2"/>
  <c r="M141" i="2" l="1"/>
  <c r="C141" i="2"/>
  <c r="J141" i="2"/>
  <c r="A141" i="2"/>
  <c r="D141" i="2"/>
  <c r="K141" i="2"/>
  <c r="G141" i="2"/>
  <c r="L141" i="2"/>
  <c r="I141" i="2"/>
  <c r="E141" i="2"/>
  <c r="O141" i="2" s="1"/>
  <c r="F141" i="2"/>
  <c r="H141" i="2"/>
  <c r="N141" i="2" l="1"/>
  <c r="P141" i="2"/>
  <c r="B142" i="2"/>
  <c r="H142" i="2" l="1"/>
  <c r="D142" i="2"/>
  <c r="J142" i="2"/>
  <c r="K142" i="2"/>
  <c r="M142" i="2"/>
  <c r="I142" i="2"/>
  <c r="E142" i="2"/>
  <c r="O142" i="2" s="1"/>
  <c r="F142" i="2"/>
  <c r="L142" i="2"/>
  <c r="A142" i="2"/>
  <c r="C142" i="2"/>
  <c r="G142" i="2"/>
  <c r="N142" i="2" l="1"/>
  <c r="P142" i="2"/>
  <c r="B143" i="2"/>
  <c r="I143" i="2" l="1"/>
  <c r="L143" i="2"/>
  <c r="G143" i="2"/>
  <c r="F143" i="2"/>
  <c r="C143" i="2"/>
  <c r="H143" i="2"/>
  <c r="E143" i="2"/>
  <c r="O143" i="2" s="1"/>
  <c r="A143" i="2"/>
  <c r="M143" i="2"/>
  <c r="J143" i="2"/>
  <c r="K143" i="2"/>
  <c r="D143" i="2"/>
  <c r="B144" i="2" l="1"/>
  <c r="D144" i="2" s="1"/>
  <c r="N143" i="2"/>
  <c r="P143" i="2"/>
  <c r="H144" i="2" l="1"/>
  <c r="A144" i="2"/>
  <c r="J144" i="2"/>
  <c r="I144" i="2"/>
  <c r="M144" i="2"/>
  <c r="F144" i="2"/>
  <c r="K144" i="2"/>
  <c r="C144" i="2"/>
  <c r="E144" i="2"/>
  <c r="O144" i="2" s="1"/>
  <c r="L144" i="2"/>
  <c r="G144" i="2"/>
  <c r="P144" i="2" l="1"/>
  <c r="B145" i="2"/>
  <c r="M145" i="2" s="1"/>
  <c r="N144" i="2"/>
  <c r="L145" i="2" l="1"/>
  <c r="H145" i="2"/>
  <c r="A145" i="2"/>
  <c r="G145" i="2"/>
  <c r="I145" i="2"/>
  <c r="J145" i="2"/>
  <c r="D145" i="2"/>
  <c r="F145" i="2"/>
  <c r="C145" i="2"/>
  <c r="K145" i="2"/>
  <c r="E145" i="2"/>
  <c r="O145" i="2" s="1"/>
  <c r="B146" i="2"/>
  <c r="P145" i="2" l="1"/>
  <c r="N145" i="2"/>
  <c r="D146" i="2"/>
  <c r="C146" i="2"/>
  <c r="M146" i="2"/>
  <c r="H146" i="2"/>
  <c r="L146" i="2"/>
  <c r="G146" i="2"/>
  <c r="J146" i="2"/>
  <c r="A146" i="2"/>
  <c r="F146" i="2"/>
  <c r="K146" i="2"/>
  <c r="E146" i="2"/>
  <c r="O146" i="2" s="1"/>
  <c r="I146" i="2"/>
  <c r="N146" i="2" l="1"/>
  <c r="P146" i="2"/>
  <c r="B147" i="2"/>
  <c r="K147" i="2" s="1"/>
  <c r="A147" i="2" l="1"/>
  <c r="G147" i="2"/>
  <c r="E147" i="2"/>
  <c r="O147" i="2" s="1"/>
  <c r="L147" i="2"/>
  <c r="D147" i="2"/>
  <c r="F147" i="2"/>
  <c r="M147" i="2"/>
  <c r="C147" i="2"/>
  <c r="J147" i="2"/>
  <c r="H147" i="2"/>
  <c r="I147" i="2"/>
  <c r="N147" i="2" l="1"/>
  <c r="P147" i="2"/>
  <c r="B148" i="2"/>
  <c r="F148" i="2" s="1"/>
  <c r="C148" i="2" l="1"/>
  <c r="J148" i="2"/>
  <c r="I148" i="2"/>
  <c r="L148" i="2"/>
  <c r="D148" i="2"/>
  <c r="H148" i="2"/>
  <c r="E148" i="2"/>
  <c r="O148" i="2" s="1"/>
  <c r="K148" i="2"/>
  <c r="M148" i="2"/>
  <c r="G148" i="2"/>
  <c r="A148" i="2"/>
  <c r="N148" i="2" l="1"/>
  <c r="P148" i="2"/>
  <c r="B149" i="2"/>
  <c r="J149" i="2" s="1"/>
  <c r="C149" i="2" l="1"/>
  <c r="E149" i="2"/>
  <c r="O149" i="2" s="1"/>
  <c r="M149" i="2"/>
  <c r="H149" i="2"/>
  <c r="L149" i="2"/>
  <c r="G149" i="2"/>
  <c r="F149" i="2"/>
  <c r="K149" i="2"/>
  <c r="A149" i="2"/>
  <c r="I149" i="2"/>
  <c r="D149" i="2"/>
  <c r="B150" i="2" l="1"/>
  <c r="C150" i="2" s="1"/>
  <c r="N149" i="2"/>
  <c r="P149" i="2"/>
  <c r="E150" i="2" l="1"/>
  <c r="O150" i="2" s="1"/>
  <c r="A150" i="2"/>
  <c r="J150" i="2"/>
  <c r="L150" i="2"/>
  <c r="D150" i="2"/>
  <c r="H150" i="2"/>
  <c r="G150" i="2"/>
  <c r="M150" i="2"/>
  <c r="I150" i="2"/>
  <c r="F150" i="2"/>
  <c r="K150" i="2"/>
  <c r="B151" i="2" l="1"/>
  <c r="J151" i="2" s="1"/>
  <c r="P150" i="2"/>
  <c r="N150" i="2"/>
  <c r="H151" i="2" l="1"/>
  <c r="C151" i="2"/>
  <c r="G151" i="2"/>
  <c r="M151" i="2"/>
  <c r="A151" i="2"/>
  <c r="E151" i="2"/>
  <c r="O151" i="2" s="1"/>
  <c r="K151" i="2"/>
  <c r="I151" i="2"/>
  <c r="F151" i="2"/>
  <c r="L151" i="2"/>
  <c r="D151" i="2"/>
  <c r="B152" i="2" s="1"/>
  <c r="I152" i="2" s="1"/>
  <c r="P151" i="2" l="1"/>
  <c r="N151" i="2"/>
  <c r="E152" i="2"/>
  <c r="A152" i="2"/>
  <c r="K152" i="2"/>
  <c r="M152" i="2"/>
  <c r="L152" i="2"/>
  <c r="J152" i="2"/>
  <c r="C152" i="2"/>
  <c r="G152" i="2"/>
  <c r="H152" i="2"/>
  <c r="F152" i="2"/>
  <c r="D152" i="2"/>
  <c r="P152" i="2" l="1"/>
  <c r="O152" i="2"/>
  <c r="N152" i="2"/>
  <c r="B153" i="2"/>
  <c r="C153" i="2" s="1"/>
  <c r="J153" i="2" l="1"/>
  <c r="I153" i="2"/>
  <c r="F153" i="2"/>
  <c r="L153" i="2"/>
  <c r="D153" i="2"/>
  <c r="M153" i="2"/>
  <c r="E153" i="2"/>
  <c r="O153" i="2" s="1"/>
  <c r="A153" i="2"/>
  <c r="K153" i="2"/>
  <c r="G153" i="2"/>
  <c r="H153" i="2"/>
  <c r="N153" i="2" l="1"/>
  <c r="P153" i="2"/>
  <c r="B154" i="2"/>
  <c r="H154" i="2" l="1"/>
  <c r="M154" i="2"/>
  <c r="L154" i="2"/>
  <c r="D154" i="2"/>
  <c r="I154" i="2"/>
  <c r="K154" i="2"/>
  <c r="G154" i="2"/>
  <c r="J154" i="2"/>
  <c r="F154" i="2"/>
  <c r="C154" i="2"/>
  <c r="E154" i="2"/>
  <c r="O154" i="2" s="1"/>
  <c r="A154" i="2"/>
  <c r="N154" i="2" l="1"/>
  <c r="P154" i="2"/>
  <c r="B155" i="2"/>
  <c r="F155" i="2" l="1"/>
  <c r="H155" i="2"/>
  <c r="D155" i="2"/>
  <c r="A155" i="2"/>
  <c r="E155" i="2"/>
  <c r="O155" i="2" s="1"/>
  <c r="K155" i="2"/>
  <c r="L155" i="2"/>
  <c r="J155" i="2"/>
  <c r="M155" i="2"/>
  <c r="C155" i="2"/>
  <c r="I155" i="2"/>
  <c r="G155" i="2"/>
  <c r="N155" i="2" l="1"/>
  <c r="P155" i="2"/>
  <c r="B156" i="2"/>
  <c r="D156" i="2" l="1"/>
  <c r="A156" i="2"/>
  <c r="L156" i="2"/>
  <c r="M156" i="2"/>
  <c r="E156" i="2"/>
  <c r="O156" i="2" s="1"/>
  <c r="F156" i="2"/>
  <c r="K156" i="2"/>
  <c r="C156" i="2"/>
  <c r="I156" i="2"/>
  <c r="J156" i="2"/>
  <c r="H156" i="2"/>
  <c r="G156" i="2"/>
  <c r="N156" i="2" l="1"/>
  <c r="P156" i="2"/>
  <c r="B157" i="2"/>
  <c r="E157" i="2" s="1"/>
  <c r="O157" i="2" s="1"/>
  <c r="N157" i="2" l="1"/>
  <c r="P157" i="2"/>
  <c r="J157" i="2"/>
  <c r="I157" i="2"/>
  <c r="K157" i="2"/>
  <c r="H157" i="2"/>
  <c r="D157" i="2"/>
  <c r="C157" i="2"/>
  <c r="L157" i="2"/>
  <c r="M157" i="2"/>
  <c r="F157" i="2"/>
  <c r="A157" i="2"/>
  <c r="G157" i="2"/>
  <c r="B158" i="2" l="1"/>
  <c r="L158" i="2" s="1"/>
  <c r="E158" i="2" l="1"/>
  <c r="O158" i="2" s="1"/>
  <c r="C158" i="2"/>
  <c r="J158" i="2"/>
  <c r="H158" i="2"/>
  <c r="F158" i="2"/>
  <c r="G158" i="2"/>
  <c r="D158" i="2"/>
  <c r="I158" i="2"/>
  <c r="M158" i="2"/>
  <c r="A158" i="2"/>
  <c r="K158" i="2"/>
  <c r="N158" i="2" l="1"/>
  <c r="P158" i="2"/>
  <c r="B159" i="2"/>
  <c r="G159" i="2" l="1"/>
  <c r="J159" i="2"/>
  <c r="L159" i="2"/>
  <c r="I159" i="2"/>
  <c r="C159" i="2"/>
  <c r="E159" i="2"/>
  <c r="F159" i="2"/>
  <c r="K159" i="2"/>
  <c r="H159" i="2"/>
  <c r="A159" i="2"/>
  <c r="D159" i="2"/>
  <c r="M159" i="2"/>
  <c r="P159" i="2" l="1"/>
  <c r="O159" i="2"/>
  <c r="B160" i="2"/>
  <c r="E160" i="2" s="1"/>
  <c r="N159" i="2"/>
  <c r="P160" i="2" l="1"/>
  <c r="O160" i="2"/>
  <c r="C160" i="2"/>
  <c r="I160" i="2"/>
  <c r="J160" i="2"/>
  <c r="M160" i="2"/>
  <c r="D160" i="2"/>
  <c r="A160" i="2"/>
  <c r="H160" i="2"/>
  <c r="G160" i="2"/>
  <c r="L160" i="2"/>
  <c r="F160" i="2"/>
  <c r="K160" i="2"/>
  <c r="N160" i="2"/>
  <c r="B161" i="2" l="1"/>
  <c r="E161" i="2" l="1"/>
  <c r="O161" i="2" s="1"/>
  <c r="C161" i="2"/>
  <c r="K161" i="2"/>
  <c r="F161" i="2"/>
  <c r="J161" i="2"/>
  <c r="A161" i="2"/>
  <c r="D161" i="2"/>
  <c r="L161" i="2"/>
  <c r="H161" i="2"/>
  <c r="M161" i="2"/>
  <c r="G161" i="2"/>
  <c r="I161" i="2"/>
  <c r="B162" i="2" l="1"/>
  <c r="P161" i="2"/>
  <c r="N161" i="2"/>
  <c r="F162" i="2" l="1"/>
  <c r="A162" i="2"/>
  <c r="H162" i="2"/>
  <c r="C162" i="2"/>
  <c r="E162" i="2"/>
  <c r="O162" i="2" s="1"/>
  <c r="I162" i="2"/>
  <c r="J162" i="2"/>
  <c r="M162" i="2"/>
  <c r="L162" i="2"/>
  <c r="G162" i="2"/>
  <c r="D162" i="2"/>
  <c r="K162" i="2"/>
  <c r="B163" i="2" l="1"/>
  <c r="P162" i="2"/>
  <c r="N162" i="2"/>
  <c r="M163" i="2" l="1"/>
  <c r="J163" i="2"/>
  <c r="I163" i="2"/>
  <c r="F163" i="2"/>
  <c r="E163" i="2"/>
  <c r="O163" i="2" s="1"/>
  <c r="G163" i="2"/>
  <c r="D163" i="2"/>
  <c r="A163" i="2"/>
  <c r="L163" i="2"/>
  <c r="C163" i="2"/>
  <c r="H163" i="2"/>
  <c r="K163" i="2"/>
  <c r="B164" i="2" l="1"/>
  <c r="P163" i="2"/>
  <c r="N163" i="2"/>
  <c r="H164" i="2" l="1"/>
  <c r="K164" i="2"/>
  <c r="G164" i="2"/>
  <c r="E164" i="2"/>
  <c r="O164" i="2" s="1"/>
  <c r="M164" i="2"/>
  <c r="D164" i="2"/>
  <c r="A164" i="2"/>
  <c r="L164" i="2"/>
  <c r="I164" i="2"/>
  <c r="C164" i="2"/>
  <c r="J164" i="2"/>
  <c r="F164" i="2"/>
  <c r="B165" i="2" l="1"/>
  <c r="I165" i="2" s="1"/>
  <c r="P164" i="2"/>
  <c r="N164" i="2"/>
  <c r="A165" i="2" l="1"/>
  <c r="E165" i="2"/>
  <c r="O165" i="2" s="1"/>
  <c r="L165" i="2"/>
  <c r="C165" i="2"/>
  <c r="F165" i="2"/>
  <c r="M165" i="2"/>
  <c r="D165" i="2"/>
  <c r="J165" i="2"/>
  <c r="G165" i="2"/>
  <c r="H165" i="2"/>
  <c r="K165" i="2"/>
  <c r="N165" i="2" l="1"/>
  <c r="P165" i="2"/>
  <c r="B166" i="2"/>
  <c r="J166" i="2" s="1"/>
  <c r="D166" i="2" l="1"/>
  <c r="I166" i="2"/>
  <c r="E166" i="2"/>
  <c r="O166" i="2" s="1"/>
  <c r="G166" i="2"/>
  <c r="A166" i="2"/>
  <c r="K166" i="2"/>
  <c r="L166" i="2"/>
  <c r="C166" i="2"/>
  <c r="M166" i="2"/>
  <c r="F166" i="2"/>
  <c r="H166" i="2"/>
  <c r="B167" i="2" l="1"/>
  <c r="F167" i="2" s="1"/>
  <c r="N166" i="2"/>
  <c r="P166" i="2"/>
  <c r="C167" i="2" l="1"/>
  <c r="J167" i="2"/>
  <c r="A167" i="2"/>
  <c r="L167" i="2"/>
  <c r="K167" i="2"/>
  <c r="E167" i="2"/>
  <c r="O167" i="2" s="1"/>
  <c r="M167" i="2"/>
  <c r="D167" i="2"/>
  <c r="G167" i="2"/>
  <c r="I167" i="2"/>
  <c r="H167" i="2"/>
  <c r="P167" i="2"/>
  <c r="N167" i="2"/>
  <c r="B168" i="2" l="1"/>
  <c r="L168" i="2" s="1"/>
  <c r="F168" i="2" l="1"/>
  <c r="H168" i="2"/>
  <c r="I168" i="2"/>
  <c r="C168" i="2"/>
  <c r="G168" i="2"/>
  <c r="K168" i="2"/>
  <c r="E168" i="2"/>
  <c r="O168" i="2" s="1"/>
  <c r="D168" i="2"/>
  <c r="B169" i="2" s="1"/>
  <c r="M168" i="2"/>
  <c r="A168" i="2"/>
  <c r="J168" i="2"/>
  <c r="N168" i="2"/>
  <c r="P168" i="2" l="1"/>
  <c r="J169" i="2"/>
  <c r="A169" i="2"/>
  <c r="G169" i="2"/>
  <c r="C169" i="2"/>
  <c r="L169" i="2"/>
  <c r="D169" i="2"/>
  <c r="I169" i="2"/>
  <c r="M169" i="2"/>
  <c r="E169" i="2"/>
  <c r="O169" i="2" s="1"/>
  <c r="H169" i="2"/>
  <c r="F169" i="2"/>
  <c r="K169" i="2"/>
  <c r="P169" i="2" l="1"/>
  <c r="N169" i="2"/>
  <c r="B170" i="2"/>
  <c r="G170" i="2" l="1"/>
  <c r="H170" i="2"/>
  <c r="M170" i="2"/>
  <c r="F170" i="2"/>
  <c r="D170" i="2"/>
  <c r="L170" i="2"/>
  <c r="A170" i="2"/>
  <c r="K170" i="2"/>
  <c r="E170" i="2"/>
  <c r="O170" i="2" s="1"/>
  <c r="I170" i="2"/>
  <c r="J170" i="2"/>
  <c r="C170" i="2"/>
  <c r="P170" i="2" l="1"/>
  <c r="N170" i="2"/>
  <c r="B171" i="2"/>
  <c r="D171" i="2" l="1"/>
  <c r="H171" i="2"/>
  <c r="E171" i="2"/>
  <c r="O171" i="2" s="1"/>
  <c r="C171" i="2"/>
  <c r="K171" i="2"/>
  <c r="L171" i="2"/>
  <c r="J171" i="2"/>
  <c r="M171" i="2"/>
  <c r="G171" i="2"/>
  <c r="A171" i="2"/>
  <c r="I171" i="2"/>
  <c r="F171" i="2"/>
  <c r="B172" i="2" l="1"/>
  <c r="N171" i="2"/>
  <c r="P171" i="2"/>
  <c r="E172" i="2" l="1"/>
  <c r="O172" i="2" s="1"/>
  <c r="L172" i="2"/>
  <c r="C172" i="2"/>
  <c r="J172" i="2"/>
  <c r="I172" i="2"/>
  <c r="F172" i="2"/>
  <c r="K172" i="2"/>
  <c r="M172" i="2"/>
  <c r="H172" i="2"/>
  <c r="D172" i="2"/>
  <c r="G172" i="2"/>
  <c r="A172" i="2"/>
  <c r="B173" i="2" l="1"/>
  <c r="N172" i="2"/>
  <c r="P172" i="2"/>
  <c r="K173" i="2" l="1"/>
  <c r="I173" i="2"/>
  <c r="F173" i="2"/>
  <c r="D173" i="2"/>
  <c r="M173" i="2"/>
  <c r="L173" i="2"/>
  <c r="A173" i="2"/>
  <c r="H173" i="2"/>
  <c r="J173" i="2"/>
  <c r="C173" i="2"/>
  <c r="G173" i="2"/>
  <c r="E173" i="2"/>
  <c r="O173" i="2" s="1"/>
  <c r="N173" i="2" l="1"/>
  <c r="P173" i="2"/>
  <c r="B174" i="2"/>
  <c r="F174" i="2" l="1"/>
  <c r="C174" i="2"/>
  <c r="M174" i="2"/>
  <c r="H174" i="2"/>
  <c r="G174" i="2"/>
  <c r="L174" i="2"/>
  <c r="K174" i="2"/>
  <c r="J174" i="2"/>
  <c r="A174" i="2"/>
  <c r="I174" i="2"/>
  <c r="E174" i="2"/>
  <c r="O174" i="2" s="1"/>
  <c r="D174" i="2"/>
  <c r="B175" i="2" l="1"/>
  <c r="N174" i="2"/>
  <c r="P174" i="2"/>
  <c r="M175" i="2" l="1"/>
  <c r="A175" i="2"/>
  <c r="I175" i="2"/>
  <c r="D175" i="2"/>
  <c r="E175" i="2"/>
  <c r="O175" i="2" s="1"/>
  <c r="H175" i="2"/>
  <c r="C175" i="2"/>
  <c r="K175" i="2"/>
  <c r="J175" i="2"/>
  <c r="L175" i="2"/>
  <c r="G175" i="2"/>
  <c r="F175" i="2"/>
  <c r="N175" i="2" l="1"/>
  <c r="P175" i="2"/>
  <c r="B176" i="2"/>
  <c r="L176" i="2" l="1"/>
  <c r="K176" i="2"/>
  <c r="G176" i="2"/>
  <c r="A176" i="2"/>
  <c r="F176" i="2"/>
  <c r="E176" i="2"/>
  <c r="O176" i="2" s="1"/>
  <c r="I176" i="2"/>
  <c r="H176" i="2"/>
  <c r="C176" i="2"/>
  <c r="D176" i="2"/>
  <c r="J176" i="2"/>
  <c r="M176" i="2"/>
  <c r="B177" i="2" l="1"/>
  <c r="I177" i="2" s="1"/>
  <c r="N176" i="2"/>
  <c r="P176" i="2"/>
  <c r="K177" i="2" l="1"/>
  <c r="F177" i="2"/>
  <c r="C177" i="2"/>
  <c r="E177" i="2"/>
  <c r="O177" i="2" s="1"/>
  <c r="H177" i="2"/>
  <c r="J177" i="2"/>
  <c r="G177" i="2"/>
  <c r="M177" i="2"/>
  <c r="L177" i="2"/>
  <c r="A177" i="2"/>
  <c r="D177" i="2"/>
  <c r="P177" i="2" l="1"/>
  <c r="N177" i="2"/>
  <c r="B178" i="2"/>
  <c r="F178" i="2" s="1"/>
  <c r="G178" i="2" l="1"/>
  <c r="J178" i="2"/>
  <c r="L178" i="2"/>
  <c r="K178" i="2"/>
  <c r="E178" i="2"/>
  <c r="H178" i="2"/>
  <c r="M178" i="2"/>
  <c r="A178" i="2"/>
  <c r="C178" i="2"/>
  <c r="I178" i="2"/>
  <c r="D178" i="2"/>
  <c r="B179" i="2" l="1"/>
  <c r="O178" i="2"/>
  <c r="P178" i="2"/>
  <c r="N178" i="2"/>
  <c r="C179" i="2" l="1"/>
  <c r="H179" i="2"/>
  <c r="E179" i="2"/>
  <c r="I179" i="2"/>
  <c r="K179" i="2"/>
  <c r="G179" i="2"/>
  <c r="F179" i="2"/>
  <c r="L179" i="2"/>
  <c r="J179" i="2"/>
  <c r="M179" i="2"/>
  <c r="D179" i="2"/>
  <c r="A179" i="2"/>
  <c r="O179" i="2" l="1"/>
  <c r="N179" i="2"/>
  <c r="P179" i="2"/>
  <c r="B180" i="2"/>
  <c r="A180" i="2" l="1"/>
  <c r="I180" i="2"/>
  <c r="L180" i="2"/>
  <c r="J180" i="2"/>
  <c r="F180" i="2"/>
  <c r="C180" i="2"/>
  <c r="K180" i="2"/>
  <c r="E180" i="2"/>
  <c r="H180" i="2"/>
  <c r="D180" i="2"/>
  <c r="M180" i="2"/>
  <c r="G180" i="2"/>
  <c r="B181" i="2" l="1"/>
  <c r="O180" i="2"/>
  <c r="N180" i="2"/>
  <c r="P180" i="2"/>
  <c r="C181" i="2" l="1"/>
  <c r="A181" i="2"/>
  <c r="E181" i="2"/>
  <c r="J181" i="2"/>
  <c r="F181" i="2"/>
  <c r="I181" i="2"/>
  <c r="L181" i="2"/>
  <c r="G181" i="2"/>
  <c r="K181" i="2"/>
  <c r="D181" i="2"/>
  <c r="M181" i="2"/>
  <c r="H181" i="2"/>
  <c r="O181" i="2" l="1"/>
  <c r="N181" i="2"/>
  <c r="P181" i="2"/>
  <c r="B182" i="2"/>
  <c r="H182" i="2" l="1"/>
  <c r="C182" i="2"/>
  <c r="A182" i="2"/>
  <c r="M182" i="2"/>
  <c r="J182" i="2"/>
  <c r="I182" i="2"/>
  <c r="K182" i="2"/>
  <c r="E182" i="2"/>
  <c r="D182" i="2"/>
  <c r="F182" i="2"/>
  <c r="L182" i="2"/>
  <c r="G182" i="2"/>
  <c r="B183" i="2" l="1"/>
  <c r="A183" i="2" s="1"/>
  <c r="O182" i="2"/>
  <c r="N182" i="2"/>
  <c r="P182" i="2"/>
  <c r="G183" i="2" l="1"/>
  <c r="J183" i="2"/>
  <c r="K183" i="2"/>
  <c r="L183" i="2"/>
  <c r="H183" i="2"/>
  <c r="M183" i="2"/>
  <c r="E183" i="2"/>
  <c r="O183" i="2" s="1"/>
  <c r="C183" i="2"/>
  <c r="F183" i="2"/>
  <c r="I183" i="2"/>
  <c r="D183" i="2"/>
  <c r="P183" i="2" l="1"/>
  <c r="N183" i="2"/>
  <c r="B184" i="2"/>
  <c r="H184" i="2" s="1"/>
  <c r="J184" i="2" l="1"/>
  <c r="K184" i="2"/>
  <c r="F184" i="2"/>
  <c r="I184" i="2"/>
  <c r="E184" i="2"/>
  <c r="O184" i="2" s="1"/>
  <c r="G184" i="2"/>
  <c r="D184" i="2"/>
  <c r="A184" i="2"/>
  <c r="M184" i="2"/>
  <c r="C184" i="2"/>
  <c r="L184" i="2"/>
  <c r="N184" i="2" l="1"/>
  <c r="P184" i="2"/>
  <c r="B185" i="2"/>
  <c r="D185" i="2" l="1"/>
  <c r="L185" i="2"/>
  <c r="I185" i="2"/>
  <c r="A185" i="2"/>
  <c r="J185" i="2"/>
  <c r="G185" i="2"/>
  <c r="E185" i="2"/>
  <c r="K185" i="2"/>
  <c r="H185" i="2"/>
  <c r="M185" i="2"/>
  <c r="F185" i="2"/>
  <c r="C185" i="2"/>
  <c r="O185" i="2" l="1"/>
  <c r="N185" i="2"/>
  <c r="P185" i="2"/>
  <c r="B186" i="2"/>
  <c r="H186" i="2" l="1"/>
  <c r="M186" i="2"/>
  <c r="K186" i="2"/>
  <c r="L186" i="2"/>
  <c r="E186" i="2"/>
  <c r="F186" i="2"/>
  <c r="C186" i="2"/>
  <c r="G186" i="2"/>
  <c r="D186" i="2"/>
  <c r="A186" i="2"/>
  <c r="I186" i="2"/>
  <c r="J186" i="2"/>
  <c r="B187" i="2" l="1"/>
  <c r="O186" i="2"/>
  <c r="N186" i="2"/>
  <c r="P186" i="2"/>
  <c r="I187" i="2" l="1"/>
  <c r="E187" i="2"/>
  <c r="M187" i="2"/>
  <c r="J187" i="2"/>
  <c r="L187" i="2"/>
  <c r="C187" i="2"/>
  <c r="D187" i="2"/>
  <c r="H187" i="2"/>
  <c r="A187" i="2"/>
  <c r="F187" i="2"/>
  <c r="G187" i="2"/>
  <c r="K187" i="2"/>
  <c r="B188" i="2" l="1"/>
  <c r="I188" i="2" s="1"/>
  <c r="O187" i="2"/>
  <c r="N187" i="2"/>
  <c r="P187" i="2"/>
  <c r="G188" i="2" l="1"/>
  <c r="K188" i="2"/>
  <c r="J188" i="2"/>
  <c r="D188" i="2"/>
  <c r="E188" i="2"/>
  <c r="N188" i="2" s="1"/>
  <c r="F188" i="2"/>
  <c r="L188" i="2"/>
  <c r="H188" i="2"/>
  <c r="C188" i="2"/>
  <c r="M188" i="2"/>
  <c r="A188" i="2"/>
  <c r="B189" i="2" l="1"/>
  <c r="E189" i="2" s="1"/>
  <c r="P188" i="2"/>
  <c r="O188" i="2"/>
  <c r="F189" i="2" l="1"/>
  <c r="H189" i="2"/>
  <c r="D189" i="2"/>
  <c r="C189" i="2"/>
  <c r="I189" i="2"/>
  <c r="K189" i="2"/>
  <c r="M189" i="2"/>
  <c r="A189" i="2"/>
  <c r="L189" i="2"/>
  <c r="J189" i="2"/>
  <c r="G189" i="2"/>
  <c r="B190" i="2"/>
  <c r="J190" i="2" s="1"/>
  <c r="O189" i="2"/>
  <c r="P189" i="2"/>
  <c r="N189" i="2"/>
  <c r="H190" i="2" l="1"/>
  <c r="I190" i="2"/>
  <c r="E190" i="2"/>
  <c r="A190" i="2"/>
  <c r="D190" i="2"/>
  <c r="M190" i="2"/>
  <c r="K190" i="2"/>
  <c r="G190" i="2"/>
  <c r="F190" i="2"/>
  <c r="L190" i="2"/>
  <c r="C190" i="2"/>
  <c r="B191" i="2" l="1"/>
  <c r="E191" i="2" s="1"/>
  <c r="O191" i="2" s="1"/>
  <c r="O190" i="2"/>
  <c r="P190" i="2"/>
  <c r="N190" i="2"/>
  <c r="H191" i="2" l="1"/>
  <c r="I191" i="2"/>
  <c r="C191" i="2"/>
  <c r="L191" i="2"/>
  <c r="M191" i="2"/>
  <c r="F191" i="2"/>
  <c r="A191" i="2"/>
  <c r="K191" i="2"/>
  <c r="D191" i="2"/>
  <c r="G191" i="2"/>
  <c r="J191" i="2"/>
  <c r="P191" i="2"/>
  <c r="N191" i="2"/>
  <c r="B192" i="2" l="1"/>
  <c r="E192" i="2" s="1"/>
  <c r="O192" i="2" s="1"/>
  <c r="K192" i="2" l="1"/>
  <c r="A192" i="2"/>
  <c r="L192" i="2"/>
  <c r="P192" i="2"/>
  <c r="C192" i="2"/>
  <c r="J192" i="2"/>
  <c r="M192" i="2"/>
  <c r="G192" i="2"/>
  <c r="H192" i="2"/>
  <c r="D192" i="2"/>
  <c r="I192" i="2"/>
  <c r="F192" i="2"/>
  <c r="N192" i="2"/>
  <c r="B193" i="2"/>
  <c r="C193" i="2" s="1"/>
  <c r="D193" i="2" l="1"/>
  <c r="I193" i="2"/>
  <c r="H193" i="2"/>
  <c r="K193" i="2"/>
  <c r="F193" i="2"/>
  <c r="L193" i="2"/>
  <c r="E193" i="2"/>
  <c r="M193" i="2"/>
  <c r="A193" i="2"/>
  <c r="B194" i="2" s="1"/>
  <c r="C194" i="2" s="1"/>
  <c r="G193" i="2"/>
  <c r="J193" i="2"/>
  <c r="O193" i="2" l="1"/>
  <c r="N193" i="2"/>
  <c r="P193" i="2"/>
  <c r="G194" i="2"/>
  <c r="H194" i="2"/>
  <c r="F194" i="2"/>
  <c r="D194" i="2"/>
  <c r="K194" i="2"/>
  <c r="E194" i="2"/>
  <c r="O194" i="2" s="1"/>
  <c r="J194" i="2"/>
  <c r="M194" i="2"/>
  <c r="I194" i="2"/>
  <c r="A194" i="2"/>
  <c r="L194" i="2"/>
  <c r="N194" i="2"/>
  <c r="P194" i="2"/>
  <c r="B195" i="2" l="1"/>
  <c r="H195" i="2" s="1"/>
  <c r="K195" i="2" l="1"/>
  <c r="G195" i="2"/>
  <c r="J195" i="2"/>
  <c r="M195" i="2"/>
  <c r="I195" i="2"/>
  <c r="C195" i="2"/>
  <c r="E195" i="2"/>
  <c r="O195" i="2" s="1"/>
  <c r="F195" i="2"/>
  <c r="L195" i="2"/>
  <c r="D195" i="2"/>
  <c r="A195" i="2"/>
  <c r="B196" i="2" l="1"/>
  <c r="I196" i="2" s="1"/>
  <c r="P195" i="2"/>
  <c r="N195" i="2"/>
  <c r="H196" i="2" l="1"/>
  <c r="G196" i="2"/>
  <c r="F196" i="2"/>
  <c r="K196" i="2"/>
  <c r="A196" i="2"/>
  <c r="D196" i="2"/>
  <c r="J196" i="2"/>
  <c r="L196" i="2"/>
  <c r="M196" i="2"/>
  <c r="E196" i="2"/>
  <c r="O196" i="2" s="1"/>
  <c r="C196" i="2"/>
  <c r="B197" i="2"/>
  <c r="E197" i="2" s="1"/>
  <c r="P196" i="2"/>
  <c r="N196" i="2"/>
  <c r="L197" i="2" l="1"/>
  <c r="H197" i="2"/>
  <c r="A197" i="2"/>
  <c r="C197" i="2"/>
  <c r="M197" i="2"/>
  <c r="G197" i="2"/>
  <c r="K197" i="2"/>
  <c r="J197" i="2"/>
  <c r="F197" i="2"/>
  <c r="D197" i="2"/>
  <c r="I197" i="2"/>
  <c r="O197" i="2"/>
  <c r="N197" i="2"/>
  <c r="P197" i="2"/>
  <c r="B198" i="2" l="1"/>
  <c r="G198" i="2" s="1"/>
  <c r="M198" i="2" l="1"/>
  <c r="H198" i="2"/>
  <c r="L198" i="2"/>
  <c r="E198" i="2"/>
  <c r="O198" i="2" s="1"/>
  <c r="J198" i="2"/>
  <c r="F198" i="2"/>
  <c r="A198" i="2"/>
  <c r="I198" i="2"/>
  <c r="C198" i="2"/>
  <c r="D198" i="2"/>
  <c r="K198" i="2"/>
  <c r="B199" i="2" l="1"/>
  <c r="F199" i="2" s="1"/>
  <c r="P198" i="2"/>
  <c r="N198" i="2"/>
  <c r="C199" i="2" l="1"/>
  <c r="K199" i="2"/>
  <c r="I199" i="2"/>
  <c r="A199" i="2"/>
  <c r="L199" i="2"/>
  <c r="G199" i="2"/>
  <c r="J199" i="2"/>
  <c r="M199" i="2"/>
  <c r="D199" i="2"/>
  <c r="E199" i="2"/>
  <c r="P199" i="2" s="1"/>
  <c r="H199" i="2"/>
  <c r="O199" i="2"/>
  <c r="N199" i="2"/>
  <c r="B200" i="2" l="1"/>
  <c r="L200" i="2" s="1"/>
  <c r="H200" i="2" l="1"/>
  <c r="I200" i="2"/>
  <c r="C200" i="2"/>
  <c r="J200" i="2"/>
  <c r="D200" i="2"/>
  <c r="F200" i="2"/>
  <c r="E200" i="2"/>
  <c r="N200" i="2" s="1"/>
  <c r="M200" i="2"/>
  <c r="A200" i="2"/>
  <c r="K200" i="2"/>
  <c r="G200" i="2"/>
  <c r="P200" i="2"/>
  <c r="O200" i="2" l="1"/>
  <c r="B201" i="2"/>
  <c r="K201" i="2" s="1"/>
  <c r="E201" i="2" l="1"/>
  <c r="O201" i="2" s="1"/>
  <c r="C201" i="2"/>
  <c r="I201" i="2"/>
  <c r="D201" i="2"/>
  <c r="F201" i="2"/>
  <c r="A201" i="2"/>
  <c r="H201" i="2"/>
  <c r="J201" i="2"/>
  <c r="M201" i="2"/>
  <c r="L201" i="2"/>
  <c r="G201" i="2"/>
  <c r="B202" i="2" l="1"/>
  <c r="M202" i="2" s="1"/>
  <c r="N201" i="2"/>
  <c r="P201" i="2"/>
  <c r="B17" i="1"/>
  <c r="B20" i="1"/>
  <c r="D202" i="2" l="1"/>
  <c r="E202" i="2"/>
  <c r="O202" i="2" s="1"/>
  <c r="B26" i="1" s="1"/>
  <c r="B34" i="1" s="1"/>
  <c r="C202" i="2"/>
  <c r="F202" i="2"/>
  <c r="J202" i="2"/>
  <c r="A202" i="2"/>
  <c r="H202" i="2"/>
  <c r="G202" i="2"/>
  <c r="K202" i="2"/>
  <c r="L202" i="2"/>
  <c r="I202" i="2"/>
  <c r="B19" i="1" s="1"/>
  <c r="B29" i="1" s="1"/>
  <c r="N202" i="2" l="1"/>
  <c r="P202" i="2"/>
  <c r="B33" i="1"/>
  <c r="B28" i="1"/>
  <c r="B23" i="1"/>
  <c r="B22" i="1"/>
  <c r="B25" i="1" s="1"/>
  <c r="B35" i="1" s="1"/>
  <c r="B36" i="1" s="1"/>
  <c r="B37" i="1" s="1"/>
  <c r="B24" i="1"/>
</calcChain>
</file>

<file path=xl/sharedStrings.xml><?xml version="1.0" encoding="utf-8"?>
<sst xmlns="http://schemas.openxmlformats.org/spreadsheetml/2006/main" count="133" uniqueCount="93">
  <si>
    <t>⚙  Panel de Control — Asamblea Estudiantil</t>
  </si>
  <si>
    <t>Parámetro / Métrica</t>
  </si>
  <si>
    <t>Valor</t>
  </si>
  <si>
    <t>Editable</t>
  </si>
  <si>
    <t>Descripción</t>
  </si>
  <si>
    <t xml:space="preserve">  CONSTANTES DEL SISTEMA — NO MODIFICAR</t>
  </si>
  <si>
    <t>Aforo Máximo</t>
  </si>
  <si>
    <t xml:space="preserve">  PARÁMETROS CONFIGURABLES — MODIFICAR AQUÍ</t>
  </si>
  <si>
    <t>Quórum Mínimo (personas)</t>
  </si>
  <si>
    <t>Quórum Decisorio (fracción)</t>
  </si>
  <si>
    <t>Media entre Llegadas (min)</t>
  </si>
  <si>
    <t>Media de Permanencia (min)</t>
  </si>
  <si>
    <t>Media del tiempo que cada persona permanece en el recinto.</t>
  </si>
  <si>
    <t>Media de Intervención (min)</t>
  </si>
  <si>
    <t>Desviación Est. Intervención</t>
  </si>
  <si>
    <t>Desviación estándar del tiempo de intervención.</t>
  </si>
  <si>
    <t xml:space="preserve">  MÉTRICAS — CALCULADAS AUTOMÁTICAMENTE</t>
  </si>
  <si>
    <t>Duración Real de la Asamblea (min)</t>
  </si>
  <si>
    <t>Votaciones Aprobadas</t>
  </si>
  <si>
    <t>Votaciones No Aprobadas</t>
  </si>
  <si>
    <t>Votaciones Sin Quórum</t>
  </si>
  <si>
    <t>Tasa de Aprobación</t>
  </si>
  <si>
    <t>Tasa de Quórum Alcanzado</t>
  </si>
  <si>
    <t>0.3 × tasa de quórum alcanzado.</t>
  </si>
  <si>
    <t>0.2 × tasa de aprobación de votaciones.</t>
  </si>
  <si>
    <t>ÍNDICE DE EFICIENCIA [0–1]</t>
  </si>
  <si>
    <t>Clasificación</t>
  </si>
  <si>
    <t>N°
Persona</t>
  </si>
  <si>
    <t>Activo
(ayuda)</t>
  </si>
  <si>
    <t>Tiempo
entrada (Δt)</t>
  </si>
  <si>
    <t>Tiempo
de Llegada</t>
  </si>
  <si>
    <t>Tipo de
Evento</t>
  </si>
  <si>
    <t>Tiempo de
Servicio</t>
  </si>
  <si>
    <t>Inicio
Intervención</t>
  </si>
  <si>
    <t>Fin
Intervención</t>
  </si>
  <si>
    <t>T. Últ.
Intervención</t>
  </si>
  <si>
    <t>Dur.
Votación</t>
  </si>
  <si>
    <t>Tiempo
Últ. Evento</t>
  </si>
  <si>
    <t>Tiempo de
Permanencia</t>
  </si>
  <si>
    <t>Tiempo
de Salida</t>
  </si>
  <si>
    <t>Personas
al Votar</t>
  </si>
  <si>
    <t>¿Quórum
alcanzado?</t>
  </si>
  <si>
    <t>Resultado
de Votación</t>
  </si>
  <si>
    <t>Número de orden de llegada al recinto.</t>
  </si>
  <si>
    <t>1 = esta persona está activa en la asamblea. 0 = la asamblea ya terminó (por tiempo o aforo).</t>
  </si>
  <si>
    <t>Tiempo entre llegadas, modelado con una distribución exponencial negativa de media = parámetro 'Media Llegadas'.</t>
  </si>
  <si>
    <t>Tiempo acumulado desde el inicio hasta la llegada de esta persona. Se detiene en el tiempo máximo de asamblea (240 min).</t>
  </si>
  <si>
    <t>INTERVENCIÓN: la persona da un discurso y luego se vota. VOTACIÓN: la persona solo asiste y vota. La primera persona siempre interviene.</t>
  </si>
  <si>
    <t>Duración de la intervención (dist. normal truncada). 0 si el evento es VOTACIÓN.</t>
  </si>
  <si>
    <t>Tiempo en la agenda en que comienza la intervención (= Tiempo Último Evento de la persona anterior).</t>
  </si>
  <si>
    <t>Tiempo en la agenda en que termina la intervención (= Inicio + Tiempo de Servicio).</t>
  </si>
  <si>
    <t>Acumula el tiempo de fin de la última intervención ocurrida. Se actualiza sólo en eventos INTERVENCIÓN.</t>
  </si>
  <si>
    <t>Tiempo destinado a la votación que sigue a cada intervención (entre 2 y 5 minutos). 0 si el evento es VOTACIÓN.</t>
  </si>
  <si>
    <t>Tiempo total de agenda al final del último evento completado (intervención + su votación). Si supera 240 min, la asamblea se detiene.</t>
  </si>
  <si>
    <t>Tiempo que la persona permanece en el recinto (distribución exponencial, acotada por el tiempo restante de asamblea).</t>
  </si>
  <si>
    <t>Momento en que la persona sale del recinto (= Tiempo de Llegada + Tiempo de Permanencia).</t>
  </si>
  <si>
    <t>En eventos VOTACIÓN: cuántas personas estaban en el recinto en ese momento (llegaron y aún no habían salido). '-' en INTERVENCIÓN.</t>
  </si>
  <si>
    <t>SÍ si el número de personas presentes al votar ≥ Quórum Mínimo. '-' en INTERVENCIÓN.</t>
  </si>
  <si>
    <t>APROBADO / NO APROBADO (aleatorio si hay quórum). NO APROBADA - Sin quórum (si personas &lt; mínimo). '-' en INTERVENCIÓN.</t>
  </si>
  <si>
    <t>INTERVENCIÓN</t>
  </si>
  <si>
    <t xml:space="preserve">  ÍNDICE DE EFICIENCIA — Menos tiempo por decisión -&gt; mejor</t>
  </si>
  <si>
    <t>Componente Velocidad Decisional (50%)</t>
  </si>
  <si>
    <t>Componente Quórum (30%)</t>
  </si>
  <si>
    <t>Componente Aprobación (20%)</t>
  </si>
  <si>
    <t>50% velocidad + 30% quórum + 20% aprobación. Rango 0 (ineficiente) a 1 (máxima eficiencia).</t>
  </si>
  <si>
    <t>Umbral: ≥0.7 = alta  |  ≥0.4 = media  |  &lt;0.4 = baja</t>
  </si>
  <si>
    <t>Capacidad máxima del recinto en cualquier momento. Las llegadas se bloquean si el recinto está lleno.</t>
  </si>
  <si>
    <t>Tiempo Máximo de Asamblea (min)</t>
  </si>
  <si>
    <t>Límite de tiempo. El Tiempo del Último Evento (col I) se capea aquí; si lo alcanza, la asamblea se detiene automáticamente.</t>
  </si>
  <si>
    <t>Mín. personas en el recinto para que un voto sea válido.</t>
  </si>
  <si>
    <t>Fracción mín. de votos a favor para APROBAR (ej. 0.5 = mayoría simple).</t>
  </si>
  <si>
    <t>Número de Personas (o aleatorio)</t>
  </si>
  <si>
    <t>Media de la dist. exponencial de inter-llegadas.</t>
  </si>
  <si>
    <t>Media de la dist. normal de duración de intervención.</t>
  </si>
  <si>
    <t>Total Personas que Llegaron</t>
  </si>
  <si>
    <t>Personas que efectivamente entraron al recinto (col B=1 en Simulación).</t>
  </si>
  <si>
    <t>Momento en que terminó la votación de la última intervención (col I). Capeado en 240 min. Cuando lo alcanza, la asamblea se detiene.</t>
  </si>
  <si>
    <t>N° de Intervenciones (= N° votaciones)</t>
  </si>
  <si>
    <t>Toda persona activa interviene y vota. Número = personas llegadas.</t>
  </si>
  <si>
    <t>Aprobadas / Total de votaciones.</t>
  </si>
  <si>
    <t>Votaciones donde sí hubo quórum / Total.</t>
  </si>
  <si>
    <t>Tiempo Promedio por Decisión (min)</t>
  </si>
  <si>
    <t>Minutos de agenda por cada intervención+votación. Menos = más eficiente.</t>
  </si>
  <si>
    <t>Decisiones por Hora</t>
  </si>
  <si>
    <t>Intervenciones+votaciones completadas por hora de asamblea. Más = más eficiente.</t>
  </si>
  <si>
    <t>Ritmo Esperado por Decisión (min)</t>
  </si>
  <si>
    <t>Total de personas que intentan llegar. Puede superar 100; si el recinto está lleno al llegar, la persona queda fuera. Ponga un número fijo si no quiere aleatoriedad. (=ALEATORIO.ENTRE(1;200))</t>
  </si>
  <si>
    <t xml:space="preserve"> </t>
  </si>
  <si>
    <t>Tiempo teórico esperado por decisión = Media Intervención + Media Votación (3,5 porque es el promedio entre 2 y 5, que son los tiempos establecidos de votación).</t>
  </si>
  <si>
    <t>0.5 × MIN(1; ritmo_esperado / ritmo_actual). = 1 si van al ritmo esperado o más rápido.</t>
  </si>
  <si>
    <t>NO — constante fija</t>
  </si>
  <si>
    <t>SÍ — modificar aquí</t>
  </si>
  <si>
    <t>NO — calculada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</si>
</sst>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"/>
  </numFmts>
  <fonts count="17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i/>
      <sz val="10"/>
      <color rgb="FF666666"/>
      <name val="Calibri"/>
      <family val="2"/>
    </font>
    <font>
      <sz val="10"/>
      <color rgb="FF000000"/>
      <name val="Calibri"/>
      <family val="2"/>
    </font>
    <font>
      <sz val="9"/>
      <color rgb="FFC00000"/>
      <name val="Calibri"/>
      <family val="2"/>
    </font>
    <font>
      <sz val="10"/>
      <color rgb="FF666666"/>
      <name val="Calibri"/>
      <family val="2"/>
    </font>
    <font>
      <b/>
      <sz val="10"/>
      <color rgb="FF000000"/>
      <name val="Calibri"/>
      <family val="2"/>
    </font>
    <font>
      <sz val="9"/>
      <color rgb="FF375623"/>
      <name val="Calibri"/>
      <family val="2"/>
    </font>
    <font>
      <i/>
      <sz val="10"/>
      <color rgb="FF000000"/>
      <name val="Calibri"/>
      <family val="2"/>
    </font>
    <font>
      <sz val="9"/>
      <color rgb="FF17375E"/>
      <name val="Calibri"/>
      <family val="2"/>
    </font>
    <font>
      <b/>
      <sz val="11"/>
      <color rgb="FFFFFFFF"/>
      <name val="Calibri"/>
      <family val="2"/>
    </font>
    <font>
      <b/>
      <sz val="8"/>
      <color rgb="FFFFFFFF"/>
      <name val="Calibri"/>
      <family val="2"/>
    </font>
    <font>
      <i/>
      <sz val="7"/>
      <color rgb="FF444444"/>
      <name val="Calibri"/>
      <family val="2"/>
    </font>
    <font>
      <sz val="9"/>
      <color rgb="FF222222"/>
      <name val="Calibri"/>
      <family val="2"/>
    </font>
    <font>
      <b/>
      <sz val="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17375E"/>
      </patternFill>
    </fill>
    <fill>
      <patternFill patternType="solid">
        <fgColor rgb="FFDDEEFF"/>
      </patternFill>
    </fill>
    <fill>
      <patternFill patternType="solid">
        <fgColor rgb="FF808080"/>
      </patternFill>
    </fill>
    <fill>
      <patternFill patternType="solid">
        <fgColor rgb="FFA0A0A0"/>
      </patternFill>
    </fill>
    <fill>
      <patternFill patternType="solid">
        <fgColor rgb="FF1F497D"/>
      </patternFill>
    </fill>
    <fill>
      <patternFill patternType="solid">
        <fgColor rgb="FF7030A0"/>
      </patternFill>
    </fill>
    <fill>
      <patternFill patternType="solid">
        <fgColor rgb="FFC55A11"/>
      </patternFill>
    </fill>
    <fill>
      <patternFill patternType="solid">
        <fgColor rgb="FF833C00"/>
      </patternFill>
    </fill>
    <fill>
      <patternFill patternType="solid">
        <fgColor rgb="FFF7F9FF"/>
      </patternFill>
    </fill>
    <fill>
      <patternFill patternType="solid">
        <fgColor rgb="FFFFFFFF"/>
      </patternFill>
    </fill>
    <fill>
      <patternFill patternType="solid">
        <fgColor rgb="FFF2F7FF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164" fontId="10" fillId="9" borderId="1" xfId="0" applyNumberFormat="1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left" vertical="center" wrapText="1"/>
    </xf>
    <xf numFmtId="0" fontId="15" fillId="17" borderId="2" xfId="0" applyFont="1" applyFill="1" applyBorder="1" applyAlignment="1">
      <alignment horizontal="center" vertical="center" wrapText="1"/>
    </xf>
    <xf numFmtId="0" fontId="15" fillId="18" borderId="2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165" fontId="12" fillId="19" borderId="1" xfId="0" applyNumberFormat="1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2" fontId="10" fillId="9" borderId="1" xfId="0" applyNumberFormat="1" applyFont="1" applyFill="1" applyBorder="1" applyAlignment="1">
      <alignment horizontal="center" vertical="center" wrapText="1"/>
    </xf>
    <xf numFmtId="166" fontId="10" fillId="9" borderId="1" xfId="0" applyNumberFormat="1" applyFont="1" applyFill="1" applyBorder="1" applyAlignment="1">
      <alignment horizontal="center" vertical="center" wrapText="1"/>
    </xf>
    <xf numFmtId="1" fontId="15" fillId="17" borderId="2" xfId="0" applyNumberFormat="1" applyFont="1" applyFill="1" applyBorder="1" applyAlignment="1">
      <alignment horizontal="center" vertical="center" wrapText="1"/>
    </xf>
    <xf numFmtId="1" fontId="15" fillId="18" borderId="2" xfId="0" applyNumberFormat="1" applyFont="1" applyFill="1" applyBorder="1" applyAlignment="1">
      <alignment horizontal="center" vertical="center" wrapText="1"/>
    </xf>
    <xf numFmtId="1" fontId="10" fillId="9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3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3">
    <dxf>
      <font>
        <b/>
        <sz val="9"/>
        <color rgb="FF9C5700"/>
        <name val="Calibri"/>
      </font>
      <fill>
        <patternFill patternType="solid">
          <fgColor rgb="FFFFEB9C"/>
        </patternFill>
      </fill>
    </dxf>
    <dxf>
      <font>
        <b/>
        <sz val="9"/>
        <color rgb="FF9C0006"/>
        <name val="Calibri"/>
      </font>
      <fill>
        <patternFill patternType="solid">
          <fgColor rgb="FFFFC7CE"/>
        </patternFill>
      </fill>
    </dxf>
    <dxf>
      <font>
        <b/>
        <sz val="9"/>
        <color rgb="FF375623"/>
        <name val="Calibri"/>
      </font>
      <fill>
        <patternFill patternType="solid">
          <fgColor rgb="FFC6EFCE"/>
        </patternFill>
      </fill>
    </dxf>
    <dxf>
      <font>
        <b/>
        <sz val="9"/>
        <color rgb="FF9C0006"/>
        <name val="Calibri"/>
      </font>
      <fill>
        <patternFill patternType="solid">
          <fgColor rgb="FFFFC7CE"/>
        </patternFill>
      </fill>
    </dxf>
    <dxf>
      <font>
        <b/>
        <sz val="9"/>
        <color rgb="FF375623"/>
        <name val="Calibri"/>
      </font>
      <fill>
        <patternFill patternType="solid">
          <fgColor rgb="FFC6EFCE"/>
        </patternFill>
      </fill>
    </dxf>
    <dxf>
      <font>
        <b/>
        <sz val="9"/>
        <color rgb="FF1F497D"/>
        <name val="Calibri"/>
      </font>
      <fill>
        <patternFill patternType="solid">
          <fgColor rgb="FFE3F2FD"/>
        </patternFill>
      </fill>
    </dxf>
    <dxf>
      <font>
        <b/>
        <sz val="9"/>
        <color rgb="FF7030A0"/>
        <name val="Calibri"/>
      </font>
      <fill>
        <patternFill patternType="solid">
          <fgColor rgb="FFEDE7F6"/>
        </patternFill>
      </fill>
    </dxf>
    <dxf>
      <font>
        <b/>
        <color rgb="FF9C0006"/>
        <name val="Calibri"/>
      </font>
      <fill>
        <patternFill patternType="solid">
          <fgColor rgb="FFFFC7CE"/>
        </patternFill>
      </fill>
    </dxf>
    <dxf>
      <font>
        <b/>
        <color rgb="FF9C5700"/>
        <name val="Calibri"/>
      </font>
      <fill>
        <patternFill patternType="solid">
          <fgColor rgb="FFFFEB9C"/>
        </patternFill>
      </fill>
    </dxf>
    <dxf>
      <font>
        <b/>
        <color rgb="FF375623"/>
        <name val="Calibri"/>
      </font>
      <fill>
        <patternFill patternType="solid">
          <fgColor rgb="FFC6EFCE"/>
        </patternFill>
      </fill>
    </dxf>
    <dxf>
      <font>
        <b/>
        <color rgb="FF9C0006"/>
        <name val="Calibri"/>
      </font>
      <fill>
        <patternFill patternType="solid">
          <fgColor rgb="FFFFC7CE"/>
        </patternFill>
      </fill>
    </dxf>
    <dxf>
      <font>
        <b/>
        <color rgb="FF9C5700"/>
        <name val="Calibri"/>
      </font>
      <fill>
        <patternFill patternType="solid">
          <fgColor rgb="FFFFEB9C"/>
        </patternFill>
      </fill>
    </dxf>
    <dxf>
      <font>
        <b/>
        <color rgb="FF375623"/>
        <name val="Calibri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pane ySplit="2" topLeftCell="A25" activePane="bottomLeft" state="frozen"/>
      <selection pane="bottomLeft" activeCell="C40" sqref="C40"/>
    </sheetView>
  </sheetViews>
  <sheetFormatPr baseColWidth="10" defaultColWidth="9.06640625" defaultRowHeight="14.25" x14ac:dyDescent="0.45"/>
  <cols>
    <col min="1" max="1" width="46" customWidth="1"/>
    <col min="2" max="2" width="22" customWidth="1"/>
    <col min="3" max="3" width="19.46484375" customWidth="1"/>
    <col min="4" max="4" width="77" customWidth="1"/>
  </cols>
  <sheetData>
    <row r="1" spans="1:4" ht="28.05" customHeight="1" x14ac:dyDescent="0.45">
      <c r="A1" s="43" t="s">
        <v>0</v>
      </c>
      <c r="B1" s="44"/>
      <c r="C1" s="44"/>
      <c r="D1" s="44"/>
    </row>
    <row r="2" spans="1:4" ht="18" customHeight="1" x14ac:dyDescent="0.45">
      <c r="A2" s="1" t="s">
        <v>1</v>
      </c>
      <c r="B2" s="1" t="s">
        <v>2</v>
      </c>
      <c r="C2" s="1" t="s">
        <v>3</v>
      </c>
      <c r="D2" s="1" t="s">
        <v>4</v>
      </c>
    </row>
    <row r="3" spans="1:4" ht="17" customHeight="1" x14ac:dyDescent="0.45">
      <c r="A3" s="46" t="s">
        <v>5</v>
      </c>
      <c r="B3" s="44"/>
      <c r="C3" s="44"/>
      <c r="D3" s="44"/>
    </row>
    <row r="4" spans="1:4" ht="17" customHeight="1" x14ac:dyDescent="0.45">
      <c r="A4" s="2" t="s">
        <v>6</v>
      </c>
      <c r="B4" s="29">
        <v>100</v>
      </c>
      <c r="C4" s="3" t="s">
        <v>90</v>
      </c>
      <c r="D4" s="4" t="s">
        <v>66</v>
      </c>
    </row>
    <row r="5" spans="1:4" ht="17" customHeight="1" x14ac:dyDescent="0.45">
      <c r="A5" s="2" t="s">
        <v>67</v>
      </c>
      <c r="B5" s="29">
        <v>240</v>
      </c>
      <c r="C5" s="3" t="s">
        <v>90</v>
      </c>
      <c r="D5" s="4" t="s">
        <v>68</v>
      </c>
    </row>
    <row r="6" spans="1:4" ht="17" customHeight="1" x14ac:dyDescent="0.45">
      <c r="A6" s="45" t="s">
        <v>7</v>
      </c>
      <c r="B6" s="44"/>
      <c r="C6" s="44"/>
      <c r="D6" s="44"/>
    </row>
    <row r="7" spans="1:4" ht="17" customHeight="1" x14ac:dyDescent="0.45">
      <c r="A7" s="5" t="s">
        <v>8</v>
      </c>
      <c r="B7" s="6">
        <v>20</v>
      </c>
      <c r="C7" s="7" t="s">
        <v>91</v>
      </c>
      <c r="D7" s="5" t="s">
        <v>69</v>
      </c>
    </row>
    <row r="8" spans="1:4" ht="17" customHeight="1" x14ac:dyDescent="0.45">
      <c r="A8" s="5" t="s">
        <v>9</v>
      </c>
      <c r="B8" s="6">
        <v>0.5</v>
      </c>
      <c r="C8" s="7" t="s">
        <v>91</v>
      </c>
      <c r="D8" s="5" t="s">
        <v>70</v>
      </c>
    </row>
    <row r="9" spans="1:4" ht="6" customHeight="1" x14ac:dyDescent="0.45"/>
    <row r="10" spans="1:4" ht="17" customHeight="1" x14ac:dyDescent="0.45">
      <c r="A10" s="5" t="s">
        <v>71</v>
      </c>
      <c r="B10" s="6">
        <f ca="1">RANDBETWEEN(1,200)</f>
        <v>40</v>
      </c>
      <c r="C10" s="7" t="s">
        <v>91</v>
      </c>
      <c r="D10" s="5" t="s">
        <v>86</v>
      </c>
    </row>
    <row r="11" spans="1:4" ht="17" customHeight="1" x14ac:dyDescent="0.45">
      <c r="A11" s="5" t="s">
        <v>10</v>
      </c>
      <c r="B11" s="6">
        <v>2</v>
      </c>
      <c r="C11" s="7" t="s">
        <v>91</v>
      </c>
      <c r="D11" s="5" t="s">
        <v>72</v>
      </c>
    </row>
    <row r="12" spans="1:4" ht="17" customHeight="1" x14ac:dyDescent="0.45">
      <c r="A12" s="5" t="s">
        <v>11</v>
      </c>
      <c r="B12" s="6">
        <v>90</v>
      </c>
      <c r="C12" s="7" t="s">
        <v>91</v>
      </c>
      <c r="D12" s="5" t="s">
        <v>12</v>
      </c>
    </row>
    <row r="13" spans="1:4" ht="17" customHeight="1" x14ac:dyDescent="0.45">
      <c r="A13" s="5" t="s">
        <v>13</v>
      </c>
      <c r="B13" s="6">
        <v>2</v>
      </c>
      <c r="C13" s="7" t="s">
        <v>91</v>
      </c>
      <c r="D13" s="5" t="s">
        <v>73</v>
      </c>
    </row>
    <row r="14" spans="1:4" ht="17" customHeight="1" x14ac:dyDescent="0.45">
      <c r="A14" s="5" t="s">
        <v>14</v>
      </c>
      <c r="B14" s="6">
        <v>1</v>
      </c>
      <c r="C14" s="7" t="s">
        <v>91</v>
      </c>
      <c r="D14" s="5" t="s">
        <v>15</v>
      </c>
    </row>
    <row r="15" spans="1:4" ht="6" customHeight="1" x14ac:dyDescent="0.45"/>
    <row r="16" spans="1:4" ht="17" customHeight="1" x14ac:dyDescent="0.45">
      <c r="A16" s="47" t="s">
        <v>16</v>
      </c>
      <c r="B16" s="44"/>
      <c r="C16" s="44"/>
      <c r="D16" s="44"/>
    </row>
    <row r="17" spans="1:4" ht="17" customHeight="1" x14ac:dyDescent="0.45">
      <c r="A17" s="24" t="s">
        <v>74</v>
      </c>
      <c r="B17" s="9">
        <f ca="1">COUNTIF(Simulación!$B$3:$B$202,1)</f>
        <v>40</v>
      </c>
      <c r="C17" s="10" t="s">
        <v>92</v>
      </c>
      <c r="D17" s="8" t="s">
        <v>75</v>
      </c>
    </row>
    <row r="18" spans="1:4" ht="6" customHeight="1" x14ac:dyDescent="0.45">
      <c r="A18" s="35"/>
      <c r="B18" s="36"/>
      <c r="C18" s="28"/>
      <c r="D18" s="27"/>
    </row>
    <row r="19" spans="1:4" ht="17" customHeight="1" x14ac:dyDescent="0.45">
      <c r="A19" s="24" t="s">
        <v>17</v>
      </c>
      <c r="B19" s="34">
        <f ca="1">IFERROR(MAX(Simulación!$I$3:$I$202),0)</f>
        <v>138.0401293211072</v>
      </c>
      <c r="C19" s="10" t="s">
        <v>92</v>
      </c>
      <c r="D19" s="8" t="s">
        <v>76</v>
      </c>
    </row>
    <row r="20" spans="1:4" ht="17" customHeight="1" x14ac:dyDescent="0.45">
      <c r="A20" s="24" t="s">
        <v>77</v>
      </c>
      <c r="B20" s="9">
        <f ca="1">COUNTIF(Simulación!$B$3:$B$202,1)</f>
        <v>40</v>
      </c>
      <c r="C20" s="10" t="s">
        <v>92</v>
      </c>
      <c r="D20" s="8" t="s">
        <v>78</v>
      </c>
    </row>
    <row r="21" spans="1:4" ht="6" customHeight="1" x14ac:dyDescent="0.45"/>
    <row r="22" spans="1:4" ht="17" customHeight="1" x14ac:dyDescent="0.45">
      <c r="A22" s="24" t="s">
        <v>18</v>
      </c>
      <c r="B22" s="9">
        <f ca="1">COUNTIF(Simulación!$P$3:$P$202,"APROBADO")</f>
        <v>6</v>
      </c>
      <c r="C22" s="10" t="s">
        <v>92</v>
      </c>
      <c r="D22" s="8"/>
    </row>
    <row r="23" spans="1:4" ht="17" customHeight="1" x14ac:dyDescent="0.45">
      <c r="A23" s="24" t="s">
        <v>19</v>
      </c>
      <c r="B23" s="9">
        <f ca="1">COUNTIF(Simulación!$P$3:$P$202,"NO APROBADO")</f>
        <v>6</v>
      </c>
      <c r="C23" s="10" t="s">
        <v>92</v>
      </c>
      <c r="D23" s="8"/>
    </row>
    <row r="24" spans="1:4" ht="17" customHeight="1" x14ac:dyDescent="0.45">
      <c r="A24" s="24" t="s">
        <v>20</v>
      </c>
      <c r="B24" s="9">
        <f ca="1">COUNTIF(Simulación!$P3:$P$202,"NO APROBADA - Sin quórum")</f>
        <v>13</v>
      </c>
      <c r="C24" s="10" t="s">
        <v>92</v>
      </c>
      <c r="D24" s="8"/>
    </row>
    <row r="25" spans="1:4" ht="17" customHeight="1" x14ac:dyDescent="0.45">
      <c r="A25" s="24" t="s">
        <v>21</v>
      </c>
      <c r="B25" s="11">
        <f ca="1">IF(B20&gt;0,B22/B20,0)</f>
        <v>0.15</v>
      </c>
      <c r="C25" s="10" t="s">
        <v>92</v>
      </c>
      <c r="D25" s="8" t="s">
        <v>79</v>
      </c>
    </row>
    <row r="26" spans="1:4" ht="17" customHeight="1" x14ac:dyDescent="0.45">
      <c r="A26" s="24" t="s">
        <v>22</v>
      </c>
      <c r="B26" s="11">
        <f ca="1">IFERROR(COUNTIF(Simulación!$O$3:$O$202,"SÍ")/B20,0)</f>
        <v>0.3</v>
      </c>
      <c r="C26" s="10" t="s">
        <v>92</v>
      </c>
      <c r="D26" s="8" t="s">
        <v>80</v>
      </c>
    </row>
    <row r="27" spans="1:4" ht="5.65" customHeight="1" x14ac:dyDescent="0.45"/>
    <row r="28" spans="1:4" ht="16.25" customHeight="1" x14ac:dyDescent="0.45">
      <c r="A28" s="24" t="s">
        <v>81</v>
      </c>
      <c r="B28" s="30">
        <f ca="1">IFERROR(B19/B20,0)</f>
        <v>3.4510032330276799</v>
      </c>
      <c r="C28" s="10" t="s">
        <v>92</v>
      </c>
      <c r="D28" s="8" t="s">
        <v>82</v>
      </c>
    </row>
    <row r="29" spans="1:4" ht="16.25" customHeight="1" x14ac:dyDescent="0.45">
      <c r="A29" s="24" t="s">
        <v>83</v>
      </c>
      <c r="B29" s="31">
        <f ca="1">IFERROR(B20*60/B19,0)</f>
        <v>17.386248562670861</v>
      </c>
      <c r="C29" s="10" t="s">
        <v>92</v>
      </c>
      <c r="D29" s="8" t="s">
        <v>84</v>
      </c>
    </row>
    <row r="30" spans="1:4" ht="16.25" customHeight="1" x14ac:dyDescent="0.45">
      <c r="A30" s="24" t="s">
        <v>85</v>
      </c>
      <c r="B30" s="30">
        <f>$B$13+3.5</f>
        <v>5.5</v>
      </c>
      <c r="C30" s="10" t="s">
        <v>92</v>
      </c>
      <c r="D30" s="8" t="s">
        <v>88</v>
      </c>
    </row>
    <row r="31" spans="1:4" ht="5.25" customHeight="1" x14ac:dyDescent="0.45"/>
    <row r="32" spans="1:4" ht="17" customHeight="1" x14ac:dyDescent="0.45">
      <c r="A32" s="41" t="s">
        <v>60</v>
      </c>
      <c r="B32" s="42"/>
      <c r="C32" s="42"/>
      <c r="D32" s="42"/>
    </row>
    <row r="33" spans="1:4" ht="17" customHeight="1" x14ac:dyDescent="0.45">
      <c r="A33" s="24" t="s">
        <v>61</v>
      </c>
      <c r="B33" s="9">
        <f ca="1">0.5*MIN(1,IF(B19&gt;0,(B20*B30)/B19,0))</f>
        <v>0.5</v>
      </c>
      <c r="C33" s="10" t="s">
        <v>92</v>
      </c>
      <c r="D33" s="8" t="s">
        <v>89</v>
      </c>
    </row>
    <row r="34" spans="1:4" ht="17" customHeight="1" x14ac:dyDescent="0.45">
      <c r="A34" s="24" t="s">
        <v>62</v>
      </c>
      <c r="B34" s="9">
        <f ca="1">0.3*B26</f>
        <v>0.09</v>
      </c>
      <c r="C34" s="10" t="s">
        <v>92</v>
      </c>
      <c r="D34" s="8" t="s">
        <v>23</v>
      </c>
    </row>
    <row r="35" spans="1:4" ht="17" customHeight="1" x14ac:dyDescent="0.45">
      <c r="A35" s="24" t="s">
        <v>63</v>
      </c>
      <c r="B35" s="9">
        <f ca="1">0.2*B25</f>
        <v>0.03</v>
      </c>
      <c r="C35" s="10" t="s">
        <v>92</v>
      </c>
      <c r="D35" s="8" t="s">
        <v>24</v>
      </c>
    </row>
    <row r="36" spans="1:4" x14ac:dyDescent="0.45">
      <c r="A36" s="24" t="s">
        <v>25</v>
      </c>
      <c r="B36" s="25">
        <f ca="1">B33+B34+B35</f>
        <v>0.62</v>
      </c>
      <c r="C36" s="10" t="s">
        <v>92</v>
      </c>
      <c r="D36" s="8" t="s">
        <v>64</v>
      </c>
    </row>
    <row r="37" spans="1:4" x14ac:dyDescent="0.45">
      <c r="A37" s="24" t="s">
        <v>26</v>
      </c>
      <c r="B37" s="26" t="str">
        <f ca="1">IF(B36&gt;=0.7,"ALTA EFICIENCIA",IF(B36&gt;=0.4,"EFICIENCIA MEDIA","BAJA EFICIENCIA"))</f>
        <v>EFICIENCIA MEDIA</v>
      </c>
      <c r="C37" s="10" t="s">
        <v>92</v>
      </c>
      <c r="D37" s="8" t="s">
        <v>65</v>
      </c>
    </row>
    <row r="38" spans="1:4" ht="14.25" customHeight="1" x14ac:dyDescent="0.45"/>
    <row r="39" spans="1:4" x14ac:dyDescent="0.45">
      <c r="C39" s="37" t="s">
        <v>87</v>
      </c>
    </row>
    <row r="40" spans="1:4" x14ac:dyDescent="0.45">
      <c r="A40" s="38" t="s">
        <v>87</v>
      </c>
      <c r="C40" s="37" t="s">
        <v>87</v>
      </c>
      <c r="D40" s="39" t="s">
        <v>87</v>
      </c>
    </row>
    <row r="41" spans="1:4" x14ac:dyDescent="0.45">
      <c r="A41" t="s">
        <v>87</v>
      </c>
      <c r="B41" t="s">
        <v>87</v>
      </c>
      <c r="C41" t="s">
        <v>87</v>
      </c>
      <c r="D41" t="s">
        <v>87</v>
      </c>
    </row>
    <row r="42" spans="1:4" x14ac:dyDescent="0.45">
      <c r="A42" t="s">
        <v>87</v>
      </c>
      <c r="B42" t="s">
        <v>87</v>
      </c>
      <c r="C42" t="s">
        <v>87</v>
      </c>
      <c r="D42" t="s">
        <v>87</v>
      </c>
    </row>
    <row r="43" spans="1:4" x14ac:dyDescent="0.45">
      <c r="A43" t="s">
        <v>87</v>
      </c>
      <c r="B43" t="s">
        <v>87</v>
      </c>
      <c r="C43" t="s">
        <v>87</v>
      </c>
      <c r="D43" t="s">
        <v>87</v>
      </c>
    </row>
    <row r="44" spans="1:4" x14ac:dyDescent="0.45">
      <c r="C44" t="s">
        <v>87</v>
      </c>
      <c r="D44" t="s">
        <v>87</v>
      </c>
    </row>
    <row r="45" spans="1:4" x14ac:dyDescent="0.45">
      <c r="C45" t="s">
        <v>87</v>
      </c>
    </row>
  </sheetData>
  <mergeCells count="5">
    <mergeCell ref="A32:D32"/>
    <mergeCell ref="A1:D1"/>
    <mergeCell ref="A6:D6"/>
    <mergeCell ref="A3:D3"/>
    <mergeCell ref="A16:D16"/>
  </mergeCells>
  <conditionalFormatting sqref="B36">
    <cfRule type="expression" dxfId="12" priority="1">
      <formula>$B$36&gt;=0.7</formula>
    </cfRule>
    <cfRule type="expression" dxfId="11" priority="2">
      <formula>AND($B$36&gt;=0.4,$B$36&lt;0.7)</formula>
    </cfRule>
    <cfRule type="expression" dxfId="10" priority="3">
      <formula>$B$36&lt;0.4</formula>
    </cfRule>
  </conditionalFormatting>
  <conditionalFormatting sqref="B37">
    <cfRule type="expression" dxfId="9" priority="4">
      <formula>B37="ALTA EFICIENCIA"</formula>
    </cfRule>
    <cfRule type="expression" dxfId="8" priority="5">
      <formula>B37="EFICIENCIA MEDIA"</formula>
    </cfRule>
    <cfRule type="expression" dxfId="7" priority="6">
      <formula>B37="BAJA EFICIENCIA"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3"/>
  <sheetViews>
    <sheetView workbookViewId="0">
      <pane xSplit="2" ySplit="2" topLeftCell="H25" activePane="bottomRight" state="frozen"/>
      <selection pane="topRight"/>
      <selection pane="bottomLeft"/>
      <selection pane="bottomRight" activeCell="P5" sqref="P5"/>
    </sheetView>
  </sheetViews>
  <sheetFormatPr baseColWidth="10" defaultColWidth="9.06640625" defaultRowHeight="14.25" x14ac:dyDescent="0.45"/>
  <cols>
    <col min="1" max="1" width="9" customWidth="1"/>
    <col min="2" max="2" width="8" customWidth="1"/>
    <col min="3" max="4" width="13" customWidth="1"/>
    <col min="5" max="5" width="16" customWidth="1"/>
    <col min="6" max="6" width="13" customWidth="1"/>
    <col min="7" max="8" width="14" customWidth="1"/>
    <col min="9" max="9" width="16" customWidth="1"/>
    <col min="10" max="10" width="13" customWidth="1"/>
    <col min="11" max="11" width="16" customWidth="1"/>
    <col min="12" max="12" width="14" customWidth="1"/>
    <col min="13" max="13" width="13" customWidth="1"/>
    <col min="14" max="15" width="15" customWidth="1"/>
    <col min="16" max="16" width="24" customWidth="1"/>
  </cols>
  <sheetData>
    <row r="1" spans="1:16" ht="44" customHeight="1" x14ac:dyDescent="0.45">
      <c r="A1" s="12" t="s">
        <v>27</v>
      </c>
      <c r="B1" s="13" t="s">
        <v>28</v>
      </c>
      <c r="C1" s="14" t="s">
        <v>29</v>
      </c>
      <c r="D1" s="14" t="s">
        <v>30</v>
      </c>
      <c r="E1" s="15" t="s">
        <v>31</v>
      </c>
      <c r="F1" s="16" t="s">
        <v>32</v>
      </c>
      <c r="G1" s="16" t="s">
        <v>33</v>
      </c>
      <c r="H1" s="16" t="s">
        <v>34</v>
      </c>
      <c r="I1" s="17" t="s">
        <v>35</v>
      </c>
      <c r="J1" s="17" t="s">
        <v>36</v>
      </c>
      <c r="K1" s="17" t="s">
        <v>37</v>
      </c>
      <c r="L1" s="18" t="s">
        <v>38</v>
      </c>
      <c r="M1" s="18" t="s">
        <v>39</v>
      </c>
      <c r="N1" s="19" t="s">
        <v>40</v>
      </c>
      <c r="O1" s="15" t="s">
        <v>41</v>
      </c>
      <c r="P1" s="20" t="s">
        <v>42</v>
      </c>
    </row>
    <row r="2" spans="1:16" ht="56" customHeight="1" x14ac:dyDescent="0.45">
      <c r="A2" s="21" t="s">
        <v>43</v>
      </c>
      <c r="B2" s="21" t="s">
        <v>44</v>
      </c>
      <c r="C2" s="21" t="s">
        <v>45</v>
      </c>
      <c r="D2" s="21" t="s">
        <v>46</v>
      </c>
      <c r="E2" s="21" t="s">
        <v>47</v>
      </c>
      <c r="F2" s="21" t="s">
        <v>48</v>
      </c>
      <c r="G2" s="21" t="s">
        <v>49</v>
      </c>
      <c r="H2" s="21" t="s">
        <v>50</v>
      </c>
      <c r="I2" s="21" t="s">
        <v>51</v>
      </c>
      <c r="J2" s="21" t="s">
        <v>52</v>
      </c>
      <c r="K2" s="21" t="s">
        <v>53</v>
      </c>
      <c r="L2" s="21" t="s">
        <v>54</v>
      </c>
      <c r="M2" s="21" t="s">
        <v>55</v>
      </c>
      <c r="N2" s="21" t="s">
        <v>56</v>
      </c>
      <c r="O2" s="21" t="s">
        <v>57</v>
      </c>
      <c r="P2" s="21" t="s">
        <v>58</v>
      </c>
    </row>
    <row r="3" spans="1:16" ht="15" customHeight="1" x14ac:dyDescent="0.45">
      <c r="A3" s="22">
        <v>1</v>
      </c>
      <c r="B3" s="22">
        <v>1</v>
      </c>
      <c r="C3" s="32">
        <f ca="1">-Parámetros!$B$11*LN(1-RAND())</f>
        <v>1.7031253766102972</v>
      </c>
      <c r="D3" s="32">
        <f ca="1">C3</f>
        <v>1.7031253766102972</v>
      </c>
      <c r="E3" s="22" t="s">
        <v>59</v>
      </c>
      <c r="F3" s="32">
        <f ca="1">ABS(NORMINV(RAND(),Parámetros!$B$13,Parámetros!$B$14))</f>
        <v>2.4293539799367427</v>
      </c>
      <c r="G3" s="32">
        <f>0</f>
        <v>0</v>
      </c>
      <c r="H3" s="32">
        <f ca="1">F3+G3</f>
        <v>2.4293539799367427</v>
      </c>
      <c r="I3" s="32">
        <f ca="1">H3</f>
        <v>2.4293539799367427</v>
      </c>
      <c r="J3" s="22">
        <f ca="1">RANDBETWEEN(2,5)</f>
        <v>5</v>
      </c>
      <c r="K3" s="32">
        <f ca="1">I3+J3</f>
        <v>7.4293539799367423</v>
      </c>
      <c r="L3" s="32">
        <f ca="1">MIN(Parámetros!$B$5-D3,-Parámetros!$B$12*LN(1-RAND()))</f>
        <v>111.91177390955775</v>
      </c>
      <c r="M3" s="32">
        <f ca="1">D3+L3</f>
        <v>113.61489928616805</v>
      </c>
      <c r="N3" s="22">
        <f ca="1">IF(E3="INTERVENCIÓN",COUNTIFS($D$3:$D$102,"&lt;="&amp;D3,$M$3:$M$102,"&gt;="&amp;D3),"-")</f>
        <v>1</v>
      </c>
      <c r="O3" s="22" t="str">
        <f ca="1">IF(E3="INTERVENCIÓN",IF(N3&gt;=Parámetros!$B$7,"SÍ","NO"),"-")</f>
        <v>NO</v>
      </c>
      <c r="P3" s="23" t="str">
        <f ca="1">IF(E3="INTERVENCIÓN",IF(N3&gt;=Parámetros!$B$7,CHOOSE(RANDBETWEEN(1,2),"APROBADO","NO APROBADO"),"NO APROBADA - Sin quórum"),"-")</f>
        <v>NO APROBADA - Sin quórum</v>
      </c>
    </row>
    <row r="4" spans="1:16" ht="15" customHeight="1" x14ac:dyDescent="0.45">
      <c r="A4" s="23">
        <f t="shared" ref="A4:A35" ca="1" si="0">IF(B4,A3+1,"")</f>
        <v>2</v>
      </c>
      <c r="B4" s="23">
        <f ca="1">IF(AND(ISNUMBER(D3),D3&lt;Parámetros!$B$5,ISNUMBER(K3),K3&lt;Parámetros!$B$5,A3&lt;MIN(Parámetros!$B$4,Parámetros!$B$10)),1,0)</f>
        <v>1</v>
      </c>
      <c r="C4" s="33">
        <f ca="1">IF(B4,-Parámetros!$B$11*LN(1-RAND()),"")</f>
        <v>1.8840264224110745</v>
      </c>
      <c r="D4" s="33">
        <f ca="1">IF(B4,MIN(D3+C4,Parámetros!$B$5),"")</f>
        <v>3.5871517990213717</v>
      </c>
      <c r="E4" s="23" t="str">
        <f t="shared" ref="E4:E35" ca="1" si="1">IF(B4,CHOOSE(RANDBETWEEN(1,2),"INTERVENCIÓN","VOTACIÓN"),"")</f>
        <v>INTERVENCIÓN</v>
      </c>
      <c r="F4" s="33">
        <f ca="1">IF(B4,ABS(IF(E4="INTERVENCIÓN",NORMINV(RAND(),Parámetros!$B$13,Parámetros!$B$14),0)),"")</f>
        <v>1.1221348932612534</v>
      </c>
      <c r="G4" s="33">
        <f t="shared" ref="G4:G35" ca="1" si="2">IF(B4,IF(E4="INTERVENCIÓN",K3,"Sin intervención"),"")</f>
        <v>7.4293539799367423</v>
      </c>
      <c r="H4" s="33">
        <f t="shared" ref="H4:H35" ca="1" si="3">IF(B4,IF(G4="Sin intervención","Sin intervención",F4+G4),"")</f>
        <v>8.5514888731979966</v>
      </c>
      <c r="I4" s="33">
        <f t="shared" ref="I4:I35" ca="1" si="4">IF(B4,IF(E4="VOTACIÓN",I3,H4),"")</f>
        <v>8.5514888731979966</v>
      </c>
      <c r="J4" s="23">
        <f t="shared" ref="J4:J35" ca="1" si="5">IF(B4,IF(E4="INTERVENCIÓN",RANDBETWEEN(2,5),0),"")</f>
        <v>5</v>
      </c>
      <c r="K4" s="33">
        <f t="shared" ref="K4:K35" ca="1" si="6">IF(B4,IF(E4="VOTACIÓN",K3,I4+J4),"")</f>
        <v>13.551488873197997</v>
      </c>
      <c r="L4" s="33">
        <f ca="1">IF(B4,MIN(Parámetros!$B$5-D4,-Parámetros!$B$12*LN(1-RAND())),"")</f>
        <v>236.41284820097863</v>
      </c>
      <c r="M4" s="33">
        <f t="shared" ref="M4:M35" ca="1" si="7">IF(B4,D4+L4,"")</f>
        <v>240</v>
      </c>
      <c r="N4" s="22">
        <f t="shared" ref="N4:N67" ca="1" si="8">IF(E4="INTERVENCIÓN",COUNTIFS($D$3:$D$102,"&lt;="&amp;D4,$M$3:$M$102,"&gt;="&amp;D4),"-")</f>
        <v>2</v>
      </c>
      <c r="O4" s="22" t="str">
        <f ca="1">IF(E4="INTERVENCIÓN",IF(N4&gt;=Parámetros!$B$7,"SÍ","NO"),"-")</f>
        <v>NO</v>
      </c>
      <c r="P4" s="23" t="str">
        <f ca="1">IF(E4="INTERVENCIÓN",IF(N4&gt;=Parámetros!$B$7,CHOOSE(RANDBETWEEN(1,2),"APROBADO","NO APROBADO"),"NO APROBADA - Sin quórum"),"-")</f>
        <v>NO APROBADA - Sin quórum</v>
      </c>
    </row>
    <row r="5" spans="1:16" ht="15" customHeight="1" x14ac:dyDescent="0.45">
      <c r="A5" s="22">
        <f t="shared" ca="1" si="0"/>
        <v>3</v>
      </c>
      <c r="B5" s="22">
        <f ca="1">IF(AND(ISNUMBER(D4),D4&lt;Parámetros!$B$5,ISNUMBER(K4),K4&lt;Parámetros!$B$5,A4&lt;MIN(Parámetros!$B$4,Parámetros!$B$10)),1,0)</f>
        <v>1</v>
      </c>
      <c r="C5" s="32">
        <f ca="1">IF(B5,-Parámetros!$B$11*LN(1-RAND()),"")</f>
        <v>4.5853652938226217</v>
      </c>
      <c r="D5" s="32">
        <f ca="1">IF(B5,MIN(D4+C5,Parámetros!$B$5),"")</f>
        <v>8.172517092843993</v>
      </c>
      <c r="E5" s="22" t="str">
        <f t="shared" ca="1" si="1"/>
        <v>VOTACIÓN</v>
      </c>
      <c r="F5" s="32">
        <f ca="1">IF(B5,ABS(IF(E5="INTERVENCIÓN",NORMINV(RAND(),Parámetros!$B$13,Parámetros!$B$14),0)),"")</f>
        <v>0</v>
      </c>
      <c r="G5" s="32" t="str">
        <f t="shared" ca="1" si="2"/>
        <v>Sin intervención</v>
      </c>
      <c r="H5" s="32" t="str">
        <f t="shared" ca="1" si="3"/>
        <v>Sin intervención</v>
      </c>
      <c r="I5" s="32">
        <f t="shared" ca="1" si="4"/>
        <v>8.5514888731979966</v>
      </c>
      <c r="J5" s="22">
        <f t="shared" ca="1" si="5"/>
        <v>0</v>
      </c>
      <c r="K5" s="32">
        <f t="shared" ca="1" si="6"/>
        <v>13.551488873197997</v>
      </c>
      <c r="L5" s="32">
        <f ca="1">IF(B5,MIN(Parámetros!$B$5-D5,-Parámetros!$B$12*LN(1-RAND())),"")</f>
        <v>160.21704220202349</v>
      </c>
      <c r="M5" s="32">
        <f t="shared" ca="1" si="7"/>
        <v>168.3895592948675</v>
      </c>
      <c r="N5" s="22" t="str">
        <f t="shared" ca="1" si="8"/>
        <v>-</v>
      </c>
      <c r="O5" s="22" t="str">
        <f ca="1">IF(E5="INTERVENCIÓN",IF(N5&gt;=Parámetros!$B$7,"SÍ","NO"),"-")</f>
        <v>-</v>
      </c>
      <c r="P5" s="23" t="str">
        <f ca="1">IF(E5="INTERVENCIÓN",IF(N5&gt;=Parámetros!$B$7,CHOOSE(RANDBETWEEN(1,2),"APROBADO","NO APROBADO"),"NO APROBADA - Sin quórum"),"-")</f>
        <v>-</v>
      </c>
    </row>
    <row r="6" spans="1:16" ht="15" customHeight="1" x14ac:dyDescent="0.45">
      <c r="A6" s="23">
        <f t="shared" ca="1" si="0"/>
        <v>4</v>
      </c>
      <c r="B6" s="23">
        <f ca="1">IF(AND(ISNUMBER(D5),D5&lt;Parámetros!$B$5,ISNUMBER(K5),K5&lt;Parámetros!$B$5,A5&lt;MIN(Parámetros!$B$4,Parámetros!$B$10)),1,0)</f>
        <v>1</v>
      </c>
      <c r="C6" s="33">
        <f ca="1">IF(B6,-Parámetros!$B$11*LN(1-RAND()),"")</f>
        <v>0.6543565886048166</v>
      </c>
      <c r="D6" s="33">
        <f ca="1">IF(B6,MIN(D5+C6,Parámetros!$B$5),"")</f>
        <v>8.8268736814488094</v>
      </c>
      <c r="E6" s="23" t="str">
        <f t="shared" ca="1" si="1"/>
        <v>INTERVENCIÓN</v>
      </c>
      <c r="F6" s="33">
        <f ca="1">IF(B6,ABS(IF(E6="INTERVENCIÓN",NORMINV(RAND(),Parámetros!$B$13,Parámetros!$B$14),0)),"")</f>
        <v>2.4136256650720407</v>
      </c>
      <c r="G6" s="33">
        <f t="shared" ca="1" si="2"/>
        <v>13.551488873197997</v>
      </c>
      <c r="H6" s="33">
        <f t="shared" ca="1" si="3"/>
        <v>15.965114538270036</v>
      </c>
      <c r="I6" s="33">
        <f t="shared" ca="1" si="4"/>
        <v>15.965114538270036</v>
      </c>
      <c r="J6" s="23">
        <f t="shared" ca="1" si="5"/>
        <v>5</v>
      </c>
      <c r="K6" s="33">
        <f t="shared" ca="1" si="6"/>
        <v>20.965114538270036</v>
      </c>
      <c r="L6" s="33">
        <f ca="1">IF(B6,MIN(Parámetros!$B$5-D6,-Parámetros!$B$12*LN(1-RAND())),"")</f>
        <v>25.984389306323582</v>
      </c>
      <c r="M6" s="33">
        <f t="shared" ca="1" si="7"/>
        <v>34.811262987772395</v>
      </c>
      <c r="N6" s="22">
        <f t="shared" ca="1" si="8"/>
        <v>4</v>
      </c>
      <c r="O6" s="22" t="str">
        <f ca="1">IF(E6="INTERVENCIÓN",IF(N6&gt;=Parámetros!$B$7,"SÍ","NO"),"-")</f>
        <v>NO</v>
      </c>
      <c r="P6" s="23" t="str">
        <f ca="1">IF(E6="INTERVENCIÓN",IF(N6&gt;=Parámetros!$B$7,CHOOSE(RANDBETWEEN(1,2),"APROBADO","NO APROBADO"),"NO APROBADA - Sin quórum"),"-")</f>
        <v>NO APROBADA - Sin quórum</v>
      </c>
    </row>
    <row r="7" spans="1:16" ht="15" customHeight="1" x14ac:dyDescent="0.45">
      <c r="A7" s="22">
        <f t="shared" ca="1" si="0"/>
        <v>5</v>
      </c>
      <c r="B7" s="22">
        <f ca="1">IF(AND(ISNUMBER(D6),D6&lt;Parámetros!$B$5,ISNUMBER(K6),K6&lt;Parámetros!$B$5,A6&lt;MIN(Parámetros!$B$4,Parámetros!$B$10)),1,0)</f>
        <v>1</v>
      </c>
      <c r="C7" s="32">
        <f ca="1">IF(B7,-Parámetros!$B$11*LN(1-RAND()),"")</f>
        <v>1.7829321304257157</v>
      </c>
      <c r="D7" s="32">
        <f ca="1">IF(B7,MIN(D6+C7,Parámetros!$B$5),"")</f>
        <v>10.609805811874525</v>
      </c>
      <c r="E7" s="22" t="str">
        <f t="shared" ca="1" si="1"/>
        <v>INTERVENCIÓN</v>
      </c>
      <c r="F7" s="32">
        <f ca="1">IF(B7,ABS(IF(E7="INTERVENCIÓN",NORMINV(RAND(),Parámetros!$B$13,Parámetros!$B$14),0)),"")</f>
        <v>3.7502976047993966</v>
      </c>
      <c r="G7" s="32">
        <f t="shared" ca="1" si="2"/>
        <v>20.965114538270036</v>
      </c>
      <c r="H7" s="32">
        <f t="shared" ca="1" si="3"/>
        <v>24.715412143069432</v>
      </c>
      <c r="I7" s="32">
        <f t="shared" ca="1" si="4"/>
        <v>24.715412143069432</v>
      </c>
      <c r="J7" s="22">
        <f t="shared" ca="1" si="5"/>
        <v>3</v>
      </c>
      <c r="K7" s="32">
        <f t="shared" ca="1" si="6"/>
        <v>27.715412143069432</v>
      </c>
      <c r="L7" s="32">
        <f ca="1">IF(B7,MIN(Parámetros!$B$5-D7,-Parámetros!$B$12*LN(1-RAND())),"")</f>
        <v>68.395666281655892</v>
      </c>
      <c r="M7" s="32">
        <f t="shared" ca="1" si="7"/>
        <v>79.005472093530415</v>
      </c>
      <c r="N7" s="22">
        <f t="shared" ca="1" si="8"/>
        <v>5</v>
      </c>
      <c r="O7" s="22" t="str">
        <f ca="1">IF(E7="INTERVENCIÓN",IF(N7&gt;=Parámetros!$B$7,"SÍ","NO"),"-")</f>
        <v>NO</v>
      </c>
      <c r="P7" s="23" t="str">
        <f ca="1">IF(E7="INTERVENCIÓN",IF(N7&gt;=Parámetros!$B$7,CHOOSE(RANDBETWEEN(1,2),"APROBADO","NO APROBADO"),"NO APROBADA - Sin quórum"),"-")</f>
        <v>NO APROBADA - Sin quórum</v>
      </c>
    </row>
    <row r="8" spans="1:16" ht="15" customHeight="1" x14ac:dyDescent="0.45">
      <c r="A8" s="23">
        <f t="shared" ca="1" si="0"/>
        <v>6</v>
      </c>
      <c r="B8" s="23">
        <f ca="1">IF(AND(ISNUMBER(D7),D7&lt;Parámetros!$B$5,ISNUMBER(K7),K7&lt;Parámetros!$B$5,A7&lt;MIN(Parámetros!$B$4,Parámetros!$B$10)),1,0)</f>
        <v>1</v>
      </c>
      <c r="C8" s="33">
        <f ca="1">IF(B8,-Parámetros!$B$11*LN(1-RAND()),"")</f>
        <v>7.3824383304332661</v>
      </c>
      <c r="D8" s="33">
        <f ca="1">IF(B8,MIN(D7+C8,Parámetros!$B$5),"")</f>
        <v>17.99224414230779</v>
      </c>
      <c r="E8" s="23" t="str">
        <f t="shared" ca="1" si="1"/>
        <v>INTERVENCIÓN</v>
      </c>
      <c r="F8" s="33">
        <f ca="1">IF(B8,ABS(IF(E8="INTERVENCIÓN",NORMINV(RAND(),Parámetros!$B$13,Parámetros!$B$14),0)),"")</f>
        <v>0.74119975215032641</v>
      </c>
      <c r="G8" s="33">
        <f t="shared" ca="1" si="2"/>
        <v>27.715412143069432</v>
      </c>
      <c r="H8" s="33">
        <f t="shared" ca="1" si="3"/>
        <v>28.456611895219758</v>
      </c>
      <c r="I8" s="33">
        <f t="shared" ca="1" si="4"/>
        <v>28.456611895219758</v>
      </c>
      <c r="J8" s="23">
        <f t="shared" ca="1" si="5"/>
        <v>4</v>
      </c>
      <c r="K8" s="33">
        <f t="shared" ca="1" si="6"/>
        <v>32.456611895219758</v>
      </c>
      <c r="L8" s="33">
        <f ca="1">IF(B8,MIN(Parámetros!$B$5-D8,-Parámetros!$B$12*LN(1-RAND())),"")</f>
        <v>73.512697353839243</v>
      </c>
      <c r="M8" s="33">
        <f t="shared" ca="1" si="7"/>
        <v>91.50494149614704</v>
      </c>
      <c r="N8" s="22">
        <f t="shared" ca="1" si="8"/>
        <v>6</v>
      </c>
      <c r="O8" s="22" t="str">
        <f ca="1">IF(E8="INTERVENCIÓN",IF(N8&gt;=Parámetros!$B$7,"SÍ","NO"),"-")</f>
        <v>NO</v>
      </c>
      <c r="P8" s="23" t="str">
        <f ca="1">IF(E8="INTERVENCIÓN",IF(N8&gt;=Parámetros!$B$7,CHOOSE(RANDBETWEEN(1,2),"APROBADO","NO APROBADO"),"NO APROBADA - Sin quórum"),"-")</f>
        <v>NO APROBADA - Sin quórum</v>
      </c>
    </row>
    <row r="9" spans="1:16" ht="15" customHeight="1" x14ac:dyDescent="0.45">
      <c r="A9" s="22">
        <f t="shared" ca="1" si="0"/>
        <v>7</v>
      </c>
      <c r="B9" s="22">
        <f ca="1">IF(AND(ISNUMBER(D8),D8&lt;Parámetros!$B$5,ISNUMBER(K8),K8&lt;Parámetros!$B$5,A8&lt;MIN(Parámetros!$B$4,Parámetros!$B$10)),1,0)</f>
        <v>1</v>
      </c>
      <c r="C9" s="32">
        <f ca="1">IF(B9,-Parámetros!$B$11*LN(1-RAND()),"")</f>
        <v>1.9336608105612858</v>
      </c>
      <c r="D9" s="32">
        <f ca="1">IF(B9,MIN(D8+C9,Parámetros!$B$5),"")</f>
        <v>19.925904952869075</v>
      </c>
      <c r="E9" s="22" t="str">
        <f t="shared" ca="1" si="1"/>
        <v>INTERVENCIÓN</v>
      </c>
      <c r="F9" s="32">
        <f ca="1">IF(B9,ABS(IF(E9="INTERVENCIÓN",NORMINV(RAND(),Parámetros!$B$13,Parámetros!$B$14),0)),"")</f>
        <v>1.9361351604596193</v>
      </c>
      <c r="G9" s="32">
        <f t="shared" ca="1" si="2"/>
        <v>32.456611895219758</v>
      </c>
      <c r="H9" s="32">
        <f t="shared" ca="1" si="3"/>
        <v>34.392747055679379</v>
      </c>
      <c r="I9" s="32">
        <f t="shared" ca="1" si="4"/>
        <v>34.392747055679379</v>
      </c>
      <c r="J9" s="22">
        <f t="shared" ca="1" si="5"/>
        <v>4</v>
      </c>
      <c r="K9" s="32">
        <f t="shared" ca="1" si="6"/>
        <v>38.392747055679379</v>
      </c>
      <c r="L9" s="32">
        <f ca="1">IF(B9,MIN(Parámetros!$B$5-D9,-Parámetros!$B$12*LN(1-RAND())),"")</f>
        <v>220.07409504713092</v>
      </c>
      <c r="M9" s="32">
        <f t="shared" ca="1" si="7"/>
        <v>240</v>
      </c>
      <c r="N9" s="22">
        <f t="shared" ca="1" si="8"/>
        <v>7</v>
      </c>
      <c r="O9" s="22" t="str">
        <f ca="1">IF(E9="INTERVENCIÓN",IF(N9&gt;=Parámetros!$B$7,"SÍ","NO"),"-")</f>
        <v>NO</v>
      </c>
      <c r="P9" s="23" t="str">
        <f ca="1">IF(E9="INTERVENCIÓN",IF(N9&gt;=Parámetros!$B$7,CHOOSE(RANDBETWEEN(1,2),"APROBADO","NO APROBADO"),"NO APROBADA - Sin quórum"),"-")</f>
        <v>NO APROBADA - Sin quórum</v>
      </c>
    </row>
    <row r="10" spans="1:16" ht="15" customHeight="1" x14ac:dyDescent="0.45">
      <c r="A10" s="23">
        <f t="shared" ca="1" si="0"/>
        <v>8</v>
      </c>
      <c r="B10" s="23">
        <f ca="1">IF(AND(ISNUMBER(D9),D9&lt;Parámetros!$B$5,ISNUMBER(K9),K9&lt;Parámetros!$B$5,A9&lt;MIN(Parámetros!$B$4,Parámetros!$B$10)),1,0)</f>
        <v>1</v>
      </c>
      <c r="C10" s="33">
        <f ca="1">IF(B10,-Parámetros!$B$11*LN(1-RAND()),"")</f>
        <v>0.47084525377040709</v>
      </c>
      <c r="D10" s="33">
        <f ca="1">IF(B10,MIN(D9+C10,Parámetros!$B$5),"")</f>
        <v>20.396750206639481</v>
      </c>
      <c r="E10" s="23" t="str">
        <f t="shared" ca="1" si="1"/>
        <v>INTERVENCIÓN</v>
      </c>
      <c r="F10" s="33">
        <f ca="1">IF(B10,ABS(IF(E10="INTERVENCIÓN",NORMINV(RAND(),Parámetros!$B$13,Parámetros!$B$14),0)),"")</f>
        <v>1.6819625200997947</v>
      </c>
      <c r="G10" s="33">
        <f t="shared" ca="1" si="2"/>
        <v>38.392747055679379</v>
      </c>
      <c r="H10" s="33">
        <f t="shared" ca="1" si="3"/>
        <v>40.074709575779174</v>
      </c>
      <c r="I10" s="33">
        <f t="shared" ca="1" si="4"/>
        <v>40.074709575779174</v>
      </c>
      <c r="J10" s="23">
        <f t="shared" ca="1" si="5"/>
        <v>4</v>
      </c>
      <c r="K10" s="33">
        <f t="shared" ca="1" si="6"/>
        <v>44.074709575779174</v>
      </c>
      <c r="L10" s="33">
        <f ca="1">IF(B10,MIN(Parámetros!$B$5-D10,-Parámetros!$B$12*LN(1-RAND())),"")</f>
        <v>70.315690099603273</v>
      </c>
      <c r="M10" s="33">
        <f t="shared" ca="1" si="7"/>
        <v>90.712440306242755</v>
      </c>
      <c r="N10" s="22">
        <f t="shared" ca="1" si="8"/>
        <v>8</v>
      </c>
      <c r="O10" s="22" t="str">
        <f ca="1">IF(E10="INTERVENCIÓN",IF(N10&gt;=Parámetros!$B$7,"SÍ","NO"),"-")</f>
        <v>NO</v>
      </c>
      <c r="P10" s="23" t="str">
        <f ca="1">IF(E10="INTERVENCIÓN",IF(N10&gt;=Parámetros!$B$7,CHOOSE(RANDBETWEEN(1,2),"APROBADO","NO APROBADO"),"NO APROBADA - Sin quórum"),"-")</f>
        <v>NO APROBADA - Sin quórum</v>
      </c>
    </row>
    <row r="11" spans="1:16" ht="15" customHeight="1" x14ac:dyDescent="0.45">
      <c r="A11" s="22">
        <f t="shared" ca="1" si="0"/>
        <v>9</v>
      </c>
      <c r="B11" s="22">
        <f ca="1">IF(AND(ISNUMBER(D10),D10&lt;Parámetros!$B$5,ISNUMBER(K10),K10&lt;Parámetros!$B$5,A10&lt;MIN(Parámetros!$B$4,Parámetros!$B$10)),1,0)</f>
        <v>1</v>
      </c>
      <c r="C11" s="32">
        <f ca="1">IF(B11,-Parámetros!$B$11*LN(1-RAND()),"")</f>
        <v>1.8011466153236375</v>
      </c>
      <c r="D11" s="32">
        <f ca="1">IF(B11,MIN(D10+C11,Parámetros!$B$5),"")</f>
        <v>22.19789682196312</v>
      </c>
      <c r="E11" s="22" t="str">
        <f t="shared" ca="1" si="1"/>
        <v>VOTACIÓN</v>
      </c>
      <c r="F11" s="32">
        <f ca="1">IF(B11,ABS(IF(E11="INTERVENCIÓN",NORMINV(RAND(),Parámetros!$B$13,Parámetros!$B$14),0)),"")</f>
        <v>0</v>
      </c>
      <c r="G11" s="32" t="str">
        <f t="shared" ca="1" si="2"/>
        <v>Sin intervención</v>
      </c>
      <c r="H11" s="32" t="str">
        <f t="shared" ca="1" si="3"/>
        <v>Sin intervención</v>
      </c>
      <c r="I11" s="32">
        <f t="shared" ca="1" si="4"/>
        <v>40.074709575779174</v>
      </c>
      <c r="J11" s="22">
        <f t="shared" ca="1" si="5"/>
        <v>0</v>
      </c>
      <c r="K11" s="32">
        <f t="shared" ca="1" si="6"/>
        <v>44.074709575779174</v>
      </c>
      <c r="L11" s="32">
        <f ca="1">IF(B11,MIN(Parámetros!$B$5-D11,-Parámetros!$B$12*LN(1-RAND())),"")</f>
        <v>33.449125285770172</v>
      </c>
      <c r="M11" s="32">
        <f t="shared" ca="1" si="7"/>
        <v>55.647022107733292</v>
      </c>
      <c r="N11" s="22" t="str">
        <f t="shared" ca="1" si="8"/>
        <v>-</v>
      </c>
      <c r="O11" s="22" t="str">
        <f ca="1">IF(E11="INTERVENCIÓN",IF(N11&gt;=Parámetros!$B$7,"SÍ","NO"),"-")</f>
        <v>-</v>
      </c>
      <c r="P11" s="23" t="str">
        <f ca="1">IF(E11="INTERVENCIÓN",IF(N11&gt;=Parámetros!$B$7,CHOOSE(RANDBETWEEN(1,2),"APROBADO","NO APROBADO"),"NO APROBADA - Sin quórum"),"-")</f>
        <v>-</v>
      </c>
    </row>
    <row r="12" spans="1:16" ht="15" customHeight="1" x14ac:dyDescent="0.45">
      <c r="A12" s="23">
        <f t="shared" ca="1" si="0"/>
        <v>10</v>
      </c>
      <c r="B12" s="23">
        <f ca="1">IF(AND(ISNUMBER(D11),D11&lt;Parámetros!$B$5,ISNUMBER(K11),K11&lt;Parámetros!$B$5,A11&lt;MIN(Parámetros!$B$4,Parámetros!$B$10)),1,0)</f>
        <v>1</v>
      </c>
      <c r="C12" s="33">
        <f ca="1">IF(B12,-Parámetros!$B$11*LN(1-RAND()),"")</f>
        <v>0.1092469184016525</v>
      </c>
      <c r="D12" s="33">
        <f ca="1">IF(B12,MIN(D11+C12,Parámetros!$B$5),"")</f>
        <v>22.307143740364772</v>
      </c>
      <c r="E12" s="23" t="str">
        <f t="shared" ca="1" si="1"/>
        <v>INTERVENCIÓN</v>
      </c>
      <c r="F12" s="33">
        <f ca="1">IF(B12,ABS(IF(E12="INTERVENCIÓN",NORMINV(RAND(),Parámetros!$B$13,Parámetros!$B$14),0)),"")</f>
        <v>3.5086352531119807</v>
      </c>
      <c r="G12" s="33">
        <f t="shared" ca="1" si="2"/>
        <v>44.074709575779174</v>
      </c>
      <c r="H12" s="33">
        <f t="shared" ca="1" si="3"/>
        <v>47.583344828891157</v>
      </c>
      <c r="I12" s="33">
        <f t="shared" ca="1" si="4"/>
        <v>47.583344828891157</v>
      </c>
      <c r="J12" s="23">
        <f t="shared" ca="1" si="5"/>
        <v>2</v>
      </c>
      <c r="K12" s="33">
        <f t="shared" ca="1" si="6"/>
        <v>49.583344828891157</v>
      </c>
      <c r="L12" s="33">
        <f ca="1">IF(B12,MIN(Parámetros!$B$5-D12,-Parámetros!$B$12*LN(1-RAND())),"")</f>
        <v>26.555855778738476</v>
      </c>
      <c r="M12" s="33">
        <f t="shared" ca="1" si="7"/>
        <v>48.862999519103248</v>
      </c>
      <c r="N12" s="22">
        <f t="shared" ca="1" si="8"/>
        <v>10</v>
      </c>
      <c r="O12" s="22" t="str">
        <f ca="1">IF(E12="INTERVENCIÓN",IF(N12&gt;=Parámetros!$B$7,"SÍ","NO"),"-")</f>
        <v>NO</v>
      </c>
      <c r="P12" s="23" t="str">
        <f ca="1">IF(E12="INTERVENCIÓN",IF(N12&gt;=Parámetros!$B$7,CHOOSE(RANDBETWEEN(1,2),"APROBADO","NO APROBADO"),"NO APROBADA - Sin quórum"),"-")</f>
        <v>NO APROBADA - Sin quórum</v>
      </c>
    </row>
    <row r="13" spans="1:16" ht="15" customHeight="1" x14ac:dyDescent="0.45">
      <c r="A13" s="22">
        <f t="shared" ca="1" si="0"/>
        <v>11</v>
      </c>
      <c r="B13" s="22">
        <f ca="1">IF(AND(ISNUMBER(D12),D12&lt;Parámetros!$B$5,ISNUMBER(K12),K12&lt;Parámetros!$B$5,A12&lt;MIN(Parámetros!$B$4,Parámetros!$B$10)),1,0)</f>
        <v>1</v>
      </c>
      <c r="C13" s="32">
        <f ca="1">IF(B13,-Parámetros!$B$11*LN(1-RAND()),"")</f>
        <v>3.8464059959128818</v>
      </c>
      <c r="D13" s="32">
        <f ca="1">IF(B13,MIN(D12+C13,Parámetros!$B$5),"")</f>
        <v>26.153549736277654</v>
      </c>
      <c r="E13" s="22" t="str">
        <f t="shared" ca="1" si="1"/>
        <v>VOTACIÓN</v>
      </c>
      <c r="F13" s="32">
        <f ca="1">IF(B13,ABS(IF(E13="INTERVENCIÓN",NORMINV(RAND(),Parámetros!$B$13,Parámetros!$B$14),0)),"")</f>
        <v>0</v>
      </c>
      <c r="G13" s="32" t="str">
        <f t="shared" ca="1" si="2"/>
        <v>Sin intervención</v>
      </c>
      <c r="H13" s="32" t="str">
        <f t="shared" ca="1" si="3"/>
        <v>Sin intervención</v>
      </c>
      <c r="I13" s="32">
        <f t="shared" ca="1" si="4"/>
        <v>47.583344828891157</v>
      </c>
      <c r="J13" s="22">
        <f t="shared" ca="1" si="5"/>
        <v>0</v>
      </c>
      <c r="K13" s="32">
        <f t="shared" ca="1" si="6"/>
        <v>49.583344828891157</v>
      </c>
      <c r="L13" s="32">
        <f ca="1">IF(B13,MIN(Parámetros!$B$5-D13,-Parámetros!$B$12*LN(1-RAND())),"")</f>
        <v>0.61101944176145129</v>
      </c>
      <c r="M13" s="32">
        <f t="shared" ca="1" si="7"/>
        <v>26.764569178039107</v>
      </c>
      <c r="N13" s="22" t="str">
        <f t="shared" ca="1" si="8"/>
        <v>-</v>
      </c>
      <c r="O13" s="22" t="str">
        <f ca="1">IF(E13="INTERVENCIÓN",IF(N13&gt;=Parámetros!$B$7,"SÍ","NO"),"-")</f>
        <v>-</v>
      </c>
      <c r="P13" s="23" t="str">
        <f ca="1">IF(E13="INTERVENCIÓN",IF(N13&gt;=Parámetros!$B$7,CHOOSE(RANDBETWEEN(1,2),"APROBADO","NO APROBADO"),"NO APROBADA - Sin quórum"),"-")</f>
        <v>-</v>
      </c>
    </row>
    <row r="14" spans="1:16" ht="15" customHeight="1" x14ac:dyDescent="0.45">
      <c r="A14" s="23">
        <f t="shared" ca="1" si="0"/>
        <v>12</v>
      </c>
      <c r="B14" s="23">
        <f ca="1">IF(AND(ISNUMBER(D13),D13&lt;Parámetros!$B$5,ISNUMBER(K13),K13&lt;Parámetros!$B$5,A13&lt;MIN(Parámetros!$B$4,Parámetros!$B$10)),1,0)</f>
        <v>1</v>
      </c>
      <c r="C14" s="33">
        <f ca="1">IF(B14,-Parámetros!$B$11*LN(1-RAND()),"")</f>
        <v>2.6523012774372905</v>
      </c>
      <c r="D14" s="33">
        <f ca="1">IF(B14,MIN(D13+C14,Parámetros!$B$5),"")</f>
        <v>28.805851013714943</v>
      </c>
      <c r="E14" s="23" t="str">
        <f t="shared" ca="1" si="1"/>
        <v>INTERVENCIÓN</v>
      </c>
      <c r="F14" s="33">
        <f ca="1">IF(B14,ABS(IF(E14="INTERVENCIÓN",NORMINV(RAND(),Parámetros!$B$13,Parámetros!$B$14),0)),"")</f>
        <v>2.3526762209884136</v>
      </c>
      <c r="G14" s="33">
        <f t="shared" ca="1" si="2"/>
        <v>49.583344828891157</v>
      </c>
      <c r="H14" s="33">
        <f t="shared" ca="1" si="3"/>
        <v>51.936021049879571</v>
      </c>
      <c r="I14" s="33">
        <f t="shared" ca="1" si="4"/>
        <v>51.936021049879571</v>
      </c>
      <c r="J14" s="23">
        <f t="shared" ca="1" si="5"/>
        <v>5</v>
      </c>
      <c r="K14" s="33">
        <f t="shared" ca="1" si="6"/>
        <v>56.936021049879571</v>
      </c>
      <c r="L14" s="33">
        <f ca="1">IF(B14,MIN(Parámetros!$B$5-D14,-Parámetros!$B$12*LN(1-RAND())),"")</f>
        <v>47.083573478473348</v>
      </c>
      <c r="M14" s="33">
        <f t="shared" ca="1" si="7"/>
        <v>75.889424492188283</v>
      </c>
      <c r="N14" s="22">
        <f t="shared" ca="1" si="8"/>
        <v>11</v>
      </c>
      <c r="O14" s="22" t="str">
        <f ca="1">IF(E14="INTERVENCIÓN",IF(N14&gt;=Parámetros!$B$7,"SÍ","NO"),"-")</f>
        <v>NO</v>
      </c>
      <c r="P14" s="23" t="str">
        <f ca="1">IF(E14="INTERVENCIÓN",IF(N14&gt;=Parámetros!$B$7,CHOOSE(RANDBETWEEN(1,2),"APROBADO","NO APROBADO"),"NO APROBADA - Sin quórum"),"-")</f>
        <v>NO APROBADA - Sin quórum</v>
      </c>
    </row>
    <row r="15" spans="1:16" ht="15" customHeight="1" x14ac:dyDescent="0.45">
      <c r="A15" s="22">
        <f t="shared" ca="1" si="0"/>
        <v>13</v>
      </c>
      <c r="B15" s="22">
        <f ca="1">IF(AND(ISNUMBER(D14),D14&lt;Parámetros!$B$5,ISNUMBER(K14),K14&lt;Parámetros!$B$5,A14&lt;MIN(Parámetros!$B$4,Parámetros!$B$10)),1,0)</f>
        <v>1</v>
      </c>
      <c r="C15" s="32">
        <f ca="1">IF(B15,-Parámetros!$B$11*LN(1-RAND()),"")</f>
        <v>1.2567803572935805</v>
      </c>
      <c r="D15" s="32">
        <f ca="1">IF(B15,MIN(D14+C15,Parámetros!$B$5),"")</f>
        <v>30.062631371008521</v>
      </c>
      <c r="E15" s="22" t="str">
        <f t="shared" ca="1" si="1"/>
        <v>INTERVENCIÓN</v>
      </c>
      <c r="F15" s="32">
        <f ca="1">IF(B15,ABS(IF(E15="INTERVENCIÓN",NORMINV(RAND(),Parámetros!$B$13,Parámetros!$B$14),0)),"")</f>
        <v>1.2634386958619732</v>
      </c>
      <c r="G15" s="32">
        <f t="shared" ca="1" si="2"/>
        <v>56.936021049879571</v>
      </c>
      <c r="H15" s="32">
        <f t="shared" ca="1" si="3"/>
        <v>58.199459745741542</v>
      </c>
      <c r="I15" s="32">
        <f t="shared" ca="1" si="4"/>
        <v>58.199459745741542</v>
      </c>
      <c r="J15" s="22">
        <f t="shared" ca="1" si="5"/>
        <v>5</v>
      </c>
      <c r="K15" s="32">
        <f t="shared" ca="1" si="6"/>
        <v>63.199459745741542</v>
      </c>
      <c r="L15" s="32">
        <f ca="1">IF(B15,MIN(Parámetros!$B$5-D15,-Parámetros!$B$12*LN(1-RAND())),"")</f>
        <v>22.437478059751381</v>
      </c>
      <c r="M15" s="32">
        <f t="shared" ca="1" si="7"/>
        <v>52.500109430759906</v>
      </c>
      <c r="N15" s="22">
        <f t="shared" ca="1" si="8"/>
        <v>12</v>
      </c>
      <c r="O15" s="22" t="str">
        <f ca="1">IF(E15="INTERVENCIÓN",IF(N15&gt;=Parámetros!$B$7,"SÍ","NO"),"-")</f>
        <v>NO</v>
      </c>
      <c r="P15" s="23" t="str">
        <f ca="1">IF(E15="INTERVENCIÓN",IF(N15&gt;=Parámetros!$B$7,CHOOSE(RANDBETWEEN(1,2),"APROBADO","NO APROBADO"),"NO APROBADA - Sin quórum"),"-")</f>
        <v>NO APROBADA - Sin quórum</v>
      </c>
    </row>
    <row r="16" spans="1:16" ht="15" customHeight="1" x14ac:dyDescent="0.45">
      <c r="A16" s="23">
        <f t="shared" ca="1" si="0"/>
        <v>14</v>
      </c>
      <c r="B16" s="23">
        <f ca="1">IF(AND(ISNUMBER(D15),D15&lt;Parámetros!$B$5,ISNUMBER(K15),K15&lt;Parámetros!$B$5,A15&lt;MIN(Parámetros!$B$4,Parámetros!$B$10)),1,0)</f>
        <v>1</v>
      </c>
      <c r="C16" s="33">
        <f ca="1">IF(B16,-Parámetros!$B$11*LN(1-RAND()),"")</f>
        <v>1.3051375003276975</v>
      </c>
      <c r="D16" s="33">
        <f ca="1">IF(B16,MIN(D15+C16,Parámetros!$B$5),"")</f>
        <v>31.367768871336217</v>
      </c>
      <c r="E16" s="23" t="str">
        <f t="shared" ca="1" si="1"/>
        <v>VOTACIÓN</v>
      </c>
      <c r="F16" s="33">
        <f ca="1">IF(B16,ABS(IF(E16="INTERVENCIÓN",NORMINV(RAND(),Parámetros!$B$13,Parámetros!$B$14),0)),"")</f>
        <v>0</v>
      </c>
      <c r="G16" s="33" t="str">
        <f t="shared" ca="1" si="2"/>
        <v>Sin intervención</v>
      </c>
      <c r="H16" s="33" t="str">
        <f t="shared" ca="1" si="3"/>
        <v>Sin intervención</v>
      </c>
      <c r="I16" s="33">
        <f t="shared" ca="1" si="4"/>
        <v>58.199459745741542</v>
      </c>
      <c r="J16" s="23">
        <f t="shared" ca="1" si="5"/>
        <v>0</v>
      </c>
      <c r="K16" s="33">
        <f t="shared" ca="1" si="6"/>
        <v>63.199459745741542</v>
      </c>
      <c r="L16" s="33">
        <f ca="1">IF(B16,MIN(Parámetros!$B$5-D16,-Parámetros!$B$12*LN(1-RAND())),"")</f>
        <v>59.257106988789332</v>
      </c>
      <c r="M16" s="33">
        <f t="shared" ca="1" si="7"/>
        <v>90.624875860125542</v>
      </c>
      <c r="N16" s="22" t="str">
        <f t="shared" ca="1" si="8"/>
        <v>-</v>
      </c>
      <c r="O16" s="22" t="str">
        <f ca="1">IF(E16="INTERVENCIÓN",IF(N16&gt;=Parámetros!$B$7,"SÍ","NO"),"-")</f>
        <v>-</v>
      </c>
      <c r="P16" s="23" t="str">
        <f ca="1">IF(E16="INTERVENCIÓN",IF(N16&gt;=Parámetros!$B$7,CHOOSE(RANDBETWEEN(1,2),"APROBADO","NO APROBADO"),"NO APROBADA - Sin quórum"),"-")</f>
        <v>-</v>
      </c>
    </row>
    <row r="17" spans="1:16" ht="15" customHeight="1" x14ac:dyDescent="0.45">
      <c r="A17" s="22">
        <f t="shared" ca="1" si="0"/>
        <v>15</v>
      </c>
      <c r="B17" s="22">
        <f ca="1">IF(AND(ISNUMBER(D16),D16&lt;Parámetros!$B$5,ISNUMBER(K16),K16&lt;Parámetros!$B$5,A16&lt;MIN(Parámetros!$B$4,Parámetros!$B$10)),1,0)</f>
        <v>1</v>
      </c>
      <c r="C17" s="32">
        <f ca="1">IF(B17,-Parámetros!$B$11*LN(1-RAND()),"")</f>
        <v>3.1587114693495531E-2</v>
      </c>
      <c r="D17" s="32">
        <f ca="1">IF(B17,MIN(D16+C17,Parámetros!$B$5),"")</f>
        <v>31.399355986029711</v>
      </c>
      <c r="E17" s="22" t="str">
        <f t="shared" ca="1" si="1"/>
        <v>VOTACIÓN</v>
      </c>
      <c r="F17" s="32">
        <f ca="1">IF(B17,ABS(IF(E17="INTERVENCIÓN",NORMINV(RAND(),Parámetros!$B$13,Parámetros!$B$14),0)),"")</f>
        <v>0</v>
      </c>
      <c r="G17" s="32" t="str">
        <f t="shared" ca="1" si="2"/>
        <v>Sin intervención</v>
      </c>
      <c r="H17" s="32" t="str">
        <f t="shared" ca="1" si="3"/>
        <v>Sin intervención</v>
      </c>
      <c r="I17" s="32">
        <f t="shared" ca="1" si="4"/>
        <v>58.199459745741542</v>
      </c>
      <c r="J17" s="22">
        <f t="shared" ca="1" si="5"/>
        <v>0</v>
      </c>
      <c r="K17" s="32">
        <f t="shared" ca="1" si="6"/>
        <v>63.199459745741542</v>
      </c>
      <c r="L17" s="32">
        <f ca="1">IF(B17,MIN(Parámetros!$B$5-D17,-Parámetros!$B$12*LN(1-RAND())),"")</f>
        <v>5.2703198338574628</v>
      </c>
      <c r="M17" s="32">
        <f t="shared" ca="1" si="7"/>
        <v>36.669675819887175</v>
      </c>
      <c r="N17" s="22" t="str">
        <f t="shared" ca="1" si="8"/>
        <v>-</v>
      </c>
      <c r="O17" s="22" t="str">
        <f ca="1">IF(E17="INTERVENCIÓN",IF(N17&gt;=Parámetros!$B$7,"SÍ","NO"),"-")</f>
        <v>-</v>
      </c>
      <c r="P17" s="23" t="str">
        <f ca="1">IF(E17="INTERVENCIÓN",IF(N17&gt;=Parámetros!$B$7,CHOOSE(RANDBETWEEN(1,2),"APROBADO","NO APROBADO"),"NO APROBADA - Sin quórum"),"-")</f>
        <v>-</v>
      </c>
    </row>
    <row r="18" spans="1:16" ht="15" customHeight="1" x14ac:dyDescent="0.45">
      <c r="A18" s="23">
        <f t="shared" ca="1" si="0"/>
        <v>16</v>
      </c>
      <c r="B18" s="23">
        <f ca="1">IF(AND(ISNUMBER(D17),D17&lt;Parámetros!$B$5,ISNUMBER(K17),K17&lt;Parámetros!$B$5,A17&lt;MIN(Parámetros!$B$4,Parámetros!$B$10)),1,0)</f>
        <v>1</v>
      </c>
      <c r="C18" s="33">
        <f ca="1">IF(B18,-Parámetros!$B$11*LN(1-RAND()),"")</f>
        <v>5.3669633510773716E-2</v>
      </c>
      <c r="D18" s="33">
        <f ca="1">IF(B18,MIN(D17+C18,Parámetros!$B$5),"")</f>
        <v>31.453025619540483</v>
      </c>
      <c r="E18" s="23" t="str">
        <f t="shared" ca="1" si="1"/>
        <v>INTERVENCIÓN</v>
      </c>
      <c r="F18" s="33">
        <f ca="1">IF(B18,ABS(IF(E18="INTERVENCIÓN",NORMINV(RAND(),Parámetros!$B$13,Parámetros!$B$14),0)),"")</f>
        <v>1.7819713935873032</v>
      </c>
      <c r="G18" s="33">
        <f t="shared" ca="1" si="2"/>
        <v>63.199459745741542</v>
      </c>
      <c r="H18" s="33">
        <f t="shared" ca="1" si="3"/>
        <v>64.981431139328848</v>
      </c>
      <c r="I18" s="33">
        <f t="shared" ca="1" si="4"/>
        <v>64.981431139328848</v>
      </c>
      <c r="J18" s="23">
        <f t="shared" ca="1" si="5"/>
        <v>3</v>
      </c>
      <c r="K18" s="33">
        <f t="shared" ca="1" si="6"/>
        <v>67.981431139328848</v>
      </c>
      <c r="L18" s="33">
        <f ca="1">IF(B18,MIN(Parámetros!$B$5-D18,-Parámetros!$B$12*LN(1-RAND())),"")</f>
        <v>54.968493773429898</v>
      </c>
      <c r="M18" s="33">
        <f t="shared" ca="1" si="7"/>
        <v>86.421519392970382</v>
      </c>
      <c r="N18" s="22">
        <f t="shared" ca="1" si="8"/>
        <v>15</v>
      </c>
      <c r="O18" s="22" t="str">
        <f ca="1">IF(E18="INTERVENCIÓN",IF(N18&gt;=Parámetros!$B$7,"SÍ","NO"),"-")</f>
        <v>NO</v>
      </c>
      <c r="P18" s="23" t="str">
        <f ca="1">IF(E18="INTERVENCIÓN",IF(N18&gt;=Parámetros!$B$7,CHOOSE(RANDBETWEEN(1,2),"APROBADO","NO APROBADO"),"NO APROBADA - Sin quórum"),"-")</f>
        <v>NO APROBADA - Sin quórum</v>
      </c>
    </row>
    <row r="19" spans="1:16" ht="15" customHeight="1" x14ac:dyDescent="0.45">
      <c r="A19" s="22">
        <f t="shared" ca="1" si="0"/>
        <v>17</v>
      </c>
      <c r="B19" s="22">
        <f ca="1">IF(AND(ISNUMBER(D18),D18&lt;Parámetros!$B$5,ISNUMBER(K18),K18&lt;Parámetros!$B$5,A18&lt;MIN(Parámetros!$B$4,Parámetros!$B$10)),1,0)</f>
        <v>1</v>
      </c>
      <c r="C19" s="32">
        <f ca="1">IF(B19,-Parámetros!$B$11*LN(1-RAND()),"")</f>
        <v>3.3593212976459896</v>
      </c>
      <c r="D19" s="32">
        <f ca="1">IF(B19,MIN(D18+C19,Parámetros!$B$5),"")</f>
        <v>34.812346917186474</v>
      </c>
      <c r="E19" s="22" t="str">
        <f t="shared" ca="1" si="1"/>
        <v>INTERVENCIÓN</v>
      </c>
      <c r="F19" s="32">
        <f ca="1">IF(B19,ABS(IF(E19="INTERVENCIÓN",NORMINV(RAND(),Parámetros!$B$13,Parámetros!$B$14),0)),"")</f>
        <v>1.2962411450244429</v>
      </c>
      <c r="G19" s="32">
        <f t="shared" ca="1" si="2"/>
        <v>67.981431139328848</v>
      </c>
      <c r="H19" s="32">
        <f t="shared" ca="1" si="3"/>
        <v>69.277672284353287</v>
      </c>
      <c r="I19" s="32">
        <f t="shared" ca="1" si="4"/>
        <v>69.277672284353287</v>
      </c>
      <c r="J19" s="22">
        <f t="shared" ca="1" si="5"/>
        <v>3</v>
      </c>
      <c r="K19" s="32">
        <f t="shared" ca="1" si="6"/>
        <v>72.277672284353287</v>
      </c>
      <c r="L19" s="32">
        <f ca="1">IF(B19,MIN(Parámetros!$B$5-D19,-Parámetros!$B$12*LN(1-RAND())),"")</f>
        <v>96.81197541136811</v>
      </c>
      <c r="M19" s="32">
        <f t="shared" ca="1" si="7"/>
        <v>131.62432232855457</v>
      </c>
      <c r="N19" s="22">
        <f t="shared" ca="1" si="8"/>
        <v>15</v>
      </c>
      <c r="O19" s="22" t="str">
        <f ca="1">IF(E19="INTERVENCIÓN",IF(N19&gt;=Parámetros!$B$7,"SÍ","NO"),"-")</f>
        <v>NO</v>
      </c>
      <c r="P19" s="23" t="str">
        <f ca="1">IF(E19="INTERVENCIÓN",IF(N19&gt;=Parámetros!$B$7,CHOOSE(RANDBETWEEN(1,2),"APROBADO","NO APROBADO"),"NO APROBADA - Sin quórum"),"-")</f>
        <v>NO APROBADA - Sin quórum</v>
      </c>
    </row>
    <row r="20" spans="1:16" ht="15" customHeight="1" x14ac:dyDescent="0.45">
      <c r="A20" s="23">
        <f t="shared" ca="1" si="0"/>
        <v>18</v>
      </c>
      <c r="B20" s="23">
        <f ca="1">IF(AND(ISNUMBER(D19),D19&lt;Parámetros!$B$5,ISNUMBER(K19),K19&lt;Parámetros!$B$5,A19&lt;MIN(Parámetros!$B$4,Parámetros!$B$10)),1,0)</f>
        <v>1</v>
      </c>
      <c r="C20" s="33">
        <f ca="1">IF(B20,-Parámetros!$B$11*LN(1-RAND()),"")</f>
        <v>0.63671127170921793</v>
      </c>
      <c r="D20" s="33">
        <f ca="1">IF(B20,MIN(D19+C20,Parámetros!$B$5),"")</f>
        <v>35.449058188895691</v>
      </c>
      <c r="E20" s="23" t="str">
        <f t="shared" ca="1" si="1"/>
        <v>VOTACIÓN</v>
      </c>
      <c r="F20" s="33">
        <f ca="1">IF(B20,ABS(IF(E20="INTERVENCIÓN",NORMINV(RAND(),Parámetros!$B$13,Parámetros!$B$14),0)),"")</f>
        <v>0</v>
      </c>
      <c r="G20" s="33" t="str">
        <f t="shared" ca="1" si="2"/>
        <v>Sin intervención</v>
      </c>
      <c r="H20" s="33" t="str">
        <f t="shared" ca="1" si="3"/>
        <v>Sin intervención</v>
      </c>
      <c r="I20" s="33">
        <f t="shared" ca="1" si="4"/>
        <v>69.277672284353287</v>
      </c>
      <c r="J20" s="23">
        <f t="shared" ca="1" si="5"/>
        <v>0</v>
      </c>
      <c r="K20" s="33">
        <f t="shared" ca="1" si="6"/>
        <v>72.277672284353287</v>
      </c>
      <c r="L20" s="33">
        <f ca="1">IF(B20,MIN(Parámetros!$B$5-D20,-Parámetros!$B$12*LN(1-RAND())),"")</f>
        <v>7.8225672325059588</v>
      </c>
      <c r="M20" s="33">
        <f t="shared" ca="1" si="7"/>
        <v>43.271625421401652</v>
      </c>
      <c r="N20" s="22" t="str">
        <f t="shared" ca="1" si="8"/>
        <v>-</v>
      </c>
      <c r="O20" s="22" t="str">
        <f ca="1">IF(E20="INTERVENCIÓN",IF(N20&gt;=Parámetros!$B$7,"SÍ","NO"),"-")</f>
        <v>-</v>
      </c>
      <c r="P20" s="23" t="str">
        <f ca="1">IF(E20="INTERVENCIÓN",IF(N20&gt;=Parámetros!$B$7,CHOOSE(RANDBETWEEN(1,2),"APROBADO","NO APROBADO"),"NO APROBADA - Sin quórum"),"-")</f>
        <v>-</v>
      </c>
    </row>
    <row r="21" spans="1:16" ht="15" customHeight="1" x14ac:dyDescent="0.45">
      <c r="A21" s="22">
        <f t="shared" ca="1" si="0"/>
        <v>19</v>
      </c>
      <c r="B21" s="22">
        <f ca="1">IF(AND(ISNUMBER(D20),D20&lt;Parámetros!$B$5,ISNUMBER(K20),K20&lt;Parámetros!$B$5,A20&lt;MIN(Parámetros!$B$4,Parámetros!$B$10)),1,0)</f>
        <v>1</v>
      </c>
      <c r="C21" s="32">
        <f ca="1">IF(B21,-Parámetros!$B$11*LN(1-RAND()),"")</f>
        <v>0.79980956083837595</v>
      </c>
      <c r="D21" s="32">
        <f ca="1">IF(B21,MIN(D20+C21,Parámetros!$B$5),"")</f>
        <v>36.248867749734067</v>
      </c>
      <c r="E21" s="22" t="str">
        <f t="shared" ca="1" si="1"/>
        <v>VOTACIÓN</v>
      </c>
      <c r="F21" s="32">
        <f ca="1">IF(B21,ABS(IF(E21="INTERVENCIÓN",NORMINV(RAND(),Parámetros!$B$13,Parámetros!$B$14),0)),"")</f>
        <v>0</v>
      </c>
      <c r="G21" s="32" t="str">
        <f t="shared" ca="1" si="2"/>
        <v>Sin intervención</v>
      </c>
      <c r="H21" s="32" t="str">
        <f t="shared" ca="1" si="3"/>
        <v>Sin intervención</v>
      </c>
      <c r="I21" s="32">
        <f t="shared" ca="1" si="4"/>
        <v>69.277672284353287</v>
      </c>
      <c r="J21" s="22">
        <f t="shared" ca="1" si="5"/>
        <v>0</v>
      </c>
      <c r="K21" s="32">
        <f t="shared" ca="1" si="6"/>
        <v>72.277672284353287</v>
      </c>
      <c r="L21" s="32">
        <f ca="1">IF(B21,MIN(Parámetros!$B$5-D21,-Parámetros!$B$12*LN(1-RAND())),"")</f>
        <v>51.965285264306942</v>
      </c>
      <c r="M21" s="32">
        <f t="shared" ca="1" si="7"/>
        <v>88.214153014041017</v>
      </c>
      <c r="N21" s="22" t="str">
        <f t="shared" ca="1" si="8"/>
        <v>-</v>
      </c>
      <c r="O21" s="22" t="str">
        <f ca="1">IF(E21="INTERVENCIÓN",IF(N21&gt;=Parámetros!$B$7,"SÍ","NO"),"-")</f>
        <v>-</v>
      </c>
      <c r="P21" s="23" t="str">
        <f ca="1">IF(E21="INTERVENCIÓN",IF(N21&gt;=Parámetros!$B$7,CHOOSE(RANDBETWEEN(1,2),"APROBADO","NO APROBADO"),"NO APROBADA - Sin quórum"),"-")</f>
        <v>-</v>
      </c>
    </row>
    <row r="22" spans="1:16" ht="15" customHeight="1" x14ac:dyDescent="0.45">
      <c r="A22" s="23">
        <f t="shared" ca="1" si="0"/>
        <v>20</v>
      </c>
      <c r="B22" s="23">
        <f ca="1">IF(AND(ISNUMBER(D21),D21&lt;Parámetros!$B$5,ISNUMBER(K21),K21&lt;Parámetros!$B$5,A21&lt;MIN(Parámetros!$B$4,Parámetros!$B$10)),1,0)</f>
        <v>1</v>
      </c>
      <c r="C22" s="33">
        <f ca="1">IF(B22,-Parámetros!$B$11*LN(1-RAND()),"")</f>
        <v>0.10090800570979125</v>
      </c>
      <c r="D22" s="33">
        <f ca="1">IF(B22,MIN(D21+C22,Parámetros!$B$5),"")</f>
        <v>36.349775755443858</v>
      </c>
      <c r="E22" s="23" t="str">
        <f t="shared" ca="1" si="1"/>
        <v>INTERVENCIÓN</v>
      </c>
      <c r="F22" s="33">
        <f ca="1">IF(B22,ABS(IF(E22="INTERVENCIÓN",NORMINV(RAND(),Parámetros!$B$13,Parámetros!$B$14),0)),"")</f>
        <v>2.6140223943071512</v>
      </c>
      <c r="G22" s="33">
        <f t="shared" ca="1" si="2"/>
        <v>72.277672284353287</v>
      </c>
      <c r="H22" s="33">
        <f t="shared" ca="1" si="3"/>
        <v>74.891694678660443</v>
      </c>
      <c r="I22" s="33">
        <f t="shared" ca="1" si="4"/>
        <v>74.891694678660443</v>
      </c>
      <c r="J22" s="23">
        <f t="shared" ca="1" si="5"/>
        <v>5</v>
      </c>
      <c r="K22" s="33">
        <f t="shared" ca="1" si="6"/>
        <v>79.891694678660443</v>
      </c>
      <c r="L22" s="33">
        <f ca="1">IF(B22,MIN(Parámetros!$B$5-D22,-Parámetros!$B$12*LN(1-RAND())),"")</f>
        <v>203.65022424455614</v>
      </c>
      <c r="M22" s="33">
        <f t="shared" ca="1" si="7"/>
        <v>240</v>
      </c>
      <c r="N22" s="22">
        <f t="shared" ca="1" si="8"/>
        <v>18</v>
      </c>
      <c r="O22" s="22" t="str">
        <f ca="1">IF(E22="INTERVENCIÓN",IF(N22&gt;=Parámetros!$B$7,"SÍ","NO"),"-")</f>
        <v>NO</v>
      </c>
      <c r="P22" s="23" t="str">
        <f ca="1">IF(E22="INTERVENCIÓN",IF(N22&gt;=Parámetros!$B$7,CHOOSE(RANDBETWEEN(1,2),"APROBADO","NO APROBADO"),"NO APROBADA - Sin quórum"),"-")</f>
        <v>NO APROBADA - Sin quórum</v>
      </c>
    </row>
    <row r="23" spans="1:16" ht="15" customHeight="1" x14ac:dyDescent="0.45">
      <c r="A23" s="22">
        <f t="shared" ca="1" si="0"/>
        <v>21</v>
      </c>
      <c r="B23" s="22">
        <f ca="1">IF(AND(ISNUMBER(D22),D22&lt;Parámetros!$B$5,ISNUMBER(K22),K22&lt;Parámetros!$B$5,A22&lt;MIN(Parámetros!$B$4,Parámetros!$B$10)),1,0)</f>
        <v>1</v>
      </c>
      <c r="C23" s="32">
        <f ca="1">IF(B23,-Parámetros!$B$11*LN(1-RAND()),"")</f>
        <v>2.321321355536754</v>
      </c>
      <c r="D23" s="32">
        <f ca="1">IF(B23,MIN(D22+C23,Parámetros!$B$5),"")</f>
        <v>38.671097110980611</v>
      </c>
      <c r="E23" s="22" t="str">
        <f t="shared" ca="1" si="1"/>
        <v>VOTACIÓN</v>
      </c>
      <c r="F23" s="32">
        <f ca="1">IF(B23,ABS(IF(E23="INTERVENCIÓN",NORMINV(RAND(),Parámetros!$B$13,Parámetros!$B$14),0)),"")</f>
        <v>0</v>
      </c>
      <c r="G23" s="32" t="str">
        <f t="shared" ca="1" si="2"/>
        <v>Sin intervención</v>
      </c>
      <c r="H23" s="32" t="str">
        <f t="shared" ca="1" si="3"/>
        <v>Sin intervención</v>
      </c>
      <c r="I23" s="32">
        <f t="shared" ca="1" si="4"/>
        <v>74.891694678660443</v>
      </c>
      <c r="J23" s="22">
        <f t="shared" ca="1" si="5"/>
        <v>0</v>
      </c>
      <c r="K23" s="32">
        <f t="shared" ca="1" si="6"/>
        <v>79.891694678660443</v>
      </c>
      <c r="L23" s="32">
        <f ca="1">IF(B23,MIN(Parámetros!$B$5-D23,-Parámetros!$B$12*LN(1-RAND())),"")</f>
        <v>16.358046599394946</v>
      </c>
      <c r="M23" s="32">
        <f t="shared" ca="1" si="7"/>
        <v>55.029143710375557</v>
      </c>
      <c r="N23" s="22" t="str">
        <f t="shared" ca="1" si="8"/>
        <v>-</v>
      </c>
      <c r="O23" s="22" t="str">
        <f ca="1">IF(E23="INTERVENCIÓN",IF(N23&gt;=Parámetros!$B$7,"SÍ","NO"),"-")</f>
        <v>-</v>
      </c>
      <c r="P23" s="23" t="str">
        <f ca="1">IF(E23="INTERVENCIÓN",IF(N23&gt;=Parámetros!$B$7,CHOOSE(RANDBETWEEN(1,2),"APROBADO","NO APROBADO"),"NO APROBADA - Sin quórum"),"-")</f>
        <v>-</v>
      </c>
    </row>
    <row r="24" spans="1:16" ht="15" customHeight="1" x14ac:dyDescent="0.45">
      <c r="A24" s="23">
        <f t="shared" ca="1" si="0"/>
        <v>22</v>
      </c>
      <c r="B24" s="23">
        <f ca="1">IF(AND(ISNUMBER(D23),D23&lt;Parámetros!$B$5,ISNUMBER(K23),K23&lt;Parámetros!$B$5,A23&lt;MIN(Parámetros!$B$4,Parámetros!$B$10)),1,0)</f>
        <v>1</v>
      </c>
      <c r="C24" s="33">
        <f ca="1">IF(B24,-Parámetros!$B$11*LN(1-RAND()),"")</f>
        <v>1.3476891319667086</v>
      </c>
      <c r="D24" s="33">
        <f ca="1">IF(B24,MIN(D23+C24,Parámetros!$B$5),"")</f>
        <v>40.018786242947321</v>
      </c>
      <c r="E24" s="23" t="str">
        <f t="shared" ca="1" si="1"/>
        <v>VOTACIÓN</v>
      </c>
      <c r="F24" s="33">
        <f ca="1">IF(B24,ABS(IF(E24="INTERVENCIÓN",NORMINV(RAND(),Parámetros!$B$13,Parámetros!$B$14),0)),"")</f>
        <v>0</v>
      </c>
      <c r="G24" s="33" t="str">
        <f t="shared" ca="1" si="2"/>
        <v>Sin intervención</v>
      </c>
      <c r="H24" s="33" t="str">
        <f t="shared" ca="1" si="3"/>
        <v>Sin intervención</v>
      </c>
      <c r="I24" s="33">
        <f t="shared" ca="1" si="4"/>
        <v>74.891694678660443</v>
      </c>
      <c r="J24" s="23">
        <f t="shared" ca="1" si="5"/>
        <v>0</v>
      </c>
      <c r="K24" s="33">
        <f t="shared" ca="1" si="6"/>
        <v>79.891694678660443</v>
      </c>
      <c r="L24" s="33">
        <f ca="1">IF(B24,MIN(Parámetros!$B$5-D24,-Parámetros!$B$12*LN(1-RAND())),"")</f>
        <v>199.98121375705267</v>
      </c>
      <c r="M24" s="33">
        <f t="shared" ca="1" si="7"/>
        <v>240</v>
      </c>
      <c r="N24" s="22" t="str">
        <f t="shared" ca="1" si="8"/>
        <v>-</v>
      </c>
      <c r="O24" s="22" t="str">
        <f ca="1">IF(E24="INTERVENCIÓN",IF(N24&gt;=Parámetros!$B$7,"SÍ","NO"),"-")</f>
        <v>-</v>
      </c>
      <c r="P24" s="23" t="str">
        <f ca="1">IF(E24="INTERVENCIÓN",IF(N24&gt;=Parámetros!$B$7,CHOOSE(RANDBETWEEN(1,2),"APROBADO","NO APROBADO"),"NO APROBADA - Sin quórum"),"-")</f>
        <v>-</v>
      </c>
    </row>
    <row r="25" spans="1:16" ht="15" customHeight="1" x14ac:dyDescent="0.45">
      <c r="A25" s="22">
        <f t="shared" ca="1" si="0"/>
        <v>23</v>
      </c>
      <c r="B25" s="22">
        <f ca="1">IF(AND(ISNUMBER(D24),D24&lt;Parámetros!$B$5,ISNUMBER(K24),K24&lt;Parámetros!$B$5,A24&lt;MIN(Parámetros!$B$4,Parámetros!$B$10)),1,0)</f>
        <v>1</v>
      </c>
      <c r="C25" s="32">
        <f ca="1">IF(B25,-Parámetros!$B$11*LN(1-RAND()),"")</f>
        <v>1.2491422561224592</v>
      </c>
      <c r="D25" s="32">
        <f ca="1">IF(B25,MIN(D24+C25,Parámetros!$B$5),"")</f>
        <v>41.267928499069782</v>
      </c>
      <c r="E25" s="22" t="str">
        <f t="shared" ca="1" si="1"/>
        <v>VOTACIÓN</v>
      </c>
      <c r="F25" s="32">
        <f ca="1">IF(B25,ABS(IF(E25="INTERVENCIÓN",NORMINV(RAND(),Parámetros!$B$13,Parámetros!$B$14),0)),"")</f>
        <v>0</v>
      </c>
      <c r="G25" s="32" t="str">
        <f t="shared" ca="1" si="2"/>
        <v>Sin intervención</v>
      </c>
      <c r="H25" s="32" t="str">
        <f t="shared" ca="1" si="3"/>
        <v>Sin intervención</v>
      </c>
      <c r="I25" s="32">
        <f t="shared" ca="1" si="4"/>
        <v>74.891694678660443</v>
      </c>
      <c r="J25" s="22">
        <f t="shared" ca="1" si="5"/>
        <v>0</v>
      </c>
      <c r="K25" s="32">
        <f t="shared" ca="1" si="6"/>
        <v>79.891694678660443</v>
      </c>
      <c r="L25" s="32">
        <f ca="1">IF(B25,MIN(Parámetros!$B$5-D25,-Parámetros!$B$12*LN(1-RAND())),"")</f>
        <v>155.60848610865762</v>
      </c>
      <c r="M25" s="32">
        <f t="shared" ca="1" si="7"/>
        <v>196.87641460772738</v>
      </c>
      <c r="N25" s="22" t="str">
        <f t="shared" ca="1" si="8"/>
        <v>-</v>
      </c>
      <c r="O25" s="22" t="str">
        <f ca="1">IF(E25="INTERVENCIÓN",IF(N25&gt;=Parámetros!$B$7,"SÍ","NO"),"-")</f>
        <v>-</v>
      </c>
      <c r="P25" s="23" t="str">
        <f ca="1">IF(E25="INTERVENCIÓN",IF(N25&gt;=Parámetros!$B$7,CHOOSE(RANDBETWEEN(1,2),"APROBADO","NO APROBADO"),"NO APROBADA - Sin quórum"),"-")</f>
        <v>-</v>
      </c>
    </row>
    <row r="26" spans="1:16" ht="15" customHeight="1" x14ac:dyDescent="0.45">
      <c r="A26" s="23">
        <f t="shared" ca="1" si="0"/>
        <v>24</v>
      </c>
      <c r="B26" s="23">
        <f ca="1">IF(AND(ISNUMBER(D25),D25&lt;Parámetros!$B$5,ISNUMBER(K25),K25&lt;Parámetros!$B$5,A25&lt;MIN(Parámetros!$B$4,Parámetros!$B$10)),1,0)</f>
        <v>1</v>
      </c>
      <c r="C26" s="33">
        <f ca="1">IF(B26,-Parámetros!$B$11*LN(1-RAND()),"")</f>
        <v>1.743022273545443</v>
      </c>
      <c r="D26" s="33">
        <f ca="1">IF(B26,MIN(D25+C26,Parámetros!$B$5),"")</f>
        <v>43.010950772615224</v>
      </c>
      <c r="E26" s="23" t="str">
        <f t="shared" ca="1" si="1"/>
        <v>INTERVENCIÓN</v>
      </c>
      <c r="F26" s="33">
        <f ca="1">IF(B26,ABS(IF(E26="INTERVENCIÓN",NORMINV(RAND(),Parámetros!$B$13,Parámetros!$B$14),0)),"")</f>
        <v>2.0782441579788751</v>
      </c>
      <c r="G26" s="33">
        <f t="shared" ca="1" si="2"/>
        <v>79.891694678660443</v>
      </c>
      <c r="H26" s="33">
        <f t="shared" ca="1" si="3"/>
        <v>81.969938836639315</v>
      </c>
      <c r="I26" s="33">
        <f t="shared" ca="1" si="4"/>
        <v>81.969938836639315</v>
      </c>
      <c r="J26" s="23">
        <f t="shared" ca="1" si="5"/>
        <v>5</v>
      </c>
      <c r="K26" s="33">
        <f t="shared" ca="1" si="6"/>
        <v>86.969938836639315</v>
      </c>
      <c r="L26" s="33">
        <f ca="1">IF(B26,MIN(Parámetros!$B$5-D26,-Parámetros!$B$12*LN(1-RAND())),"")</f>
        <v>10.242597796089434</v>
      </c>
      <c r="M26" s="33">
        <f t="shared" ca="1" si="7"/>
        <v>53.253548568704659</v>
      </c>
      <c r="N26" s="22">
        <f t="shared" ca="1" si="8"/>
        <v>21</v>
      </c>
      <c r="O26" s="22" t="str">
        <f ca="1">IF(E26="INTERVENCIÓN",IF(N26&gt;=Parámetros!$B$7,"SÍ","NO"),"-")</f>
        <v>SÍ</v>
      </c>
      <c r="P26" s="23" t="str">
        <f ca="1">IF(E26="INTERVENCIÓN",IF(N26&gt;=Parámetros!$B$7,CHOOSE(RANDBETWEEN(1,2),"APROBADO","NO APROBADO"),"NO APROBADA - Sin quórum"),"-")</f>
        <v>APROBADO</v>
      </c>
    </row>
    <row r="27" spans="1:16" ht="15" customHeight="1" x14ac:dyDescent="0.45">
      <c r="A27" s="22">
        <f t="shared" ca="1" si="0"/>
        <v>25</v>
      </c>
      <c r="B27" s="22">
        <f ca="1">IF(AND(ISNUMBER(D26),D26&lt;Parámetros!$B$5,ISNUMBER(K26),K26&lt;Parámetros!$B$5,A26&lt;MIN(Parámetros!$B$4,Parámetros!$B$10)),1,0)</f>
        <v>1</v>
      </c>
      <c r="C27" s="32">
        <f ca="1">IF(B27,-Parámetros!$B$11*LN(1-RAND()),"")</f>
        <v>1.9478423235204421</v>
      </c>
      <c r="D27" s="32">
        <f ca="1">IF(B27,MIN(D26+C27,Parámetros!$B$5),"")</f>
        <v>44.958793096135665</v>
      </c>
      <c r="E27" s="22" t="str">
        <f t="shared" ca="1" si="1"/>
        <v>INTERVENCIÓN</v>
      </c>
      <c r="F27" s="32">
        <f ca="1">IF(B27,ABS(IF(E27="INTERVENCIÓN",NORMINV(RAND(),Parámetros!$B$13,Parámetros!$B$14),0)),"")</f>
        <v>3.7634512858434492</v>
      </c>
      <c r="G27" s="32">
        <f t="shared" ca="1" si="2"/>
        <v>86.969938836639315</v>
      </c>
      <c r="H27" s="32">
        <f t="shared" ca="1" si="3"/>
        <v>90.73339012248276</v>
      </c>
      <c r="I27" s="32">
        <f t="shared" ca="1" si="4"/>
        <v>90.73339012248276</v>
      </c>
      <c r="J27" s="22">
        <f t="shared" ca="1" si="5"/>
        <v>4</v>
      </c>
      <c r="K27" s="32">
        <f t="shared" ca="1" si="6"/>
        <v>94.73339012248276</v>
      </c>
      <c r="L27" s="32">
        <f ca="1">IF(B27,MIN(Parámetros!$B$5-D27,-Parámetros!$B$12*LN(1-RAND())),"")</f>
        <v>195.04120690386435</v>
      </c>
      <c r="M27" s="32">
        <f t="shared" ca="1" si="7"/>
        <v>240</v>
      </c>
      <c r="N27" s="22">
        <f t="shared" ca="1" si="8"/>
        <v>21</v>
      </c>
      <c r="O27" s="22" t="str">
        <f ca="1">IF(E27="INTERVENCIÓN",IF(N27&gt;=Parámetros!$B$7,"SÍ","NO"),"-")</f>
        <v>SÍ</v>
      </c>
      <c r="P27" s="23" t="str">
        <f ca="1">IF(E27="INTERVENCIÓN",IF(N27&gt;=Parámetros!$B$7,CHOOSE(RANDBETWEEN(1,2),"APROBADO","NO APROBADO"),"NO APROBADA - Sin quórum"),"-")</f>
        <v>NO APROBADO</v>
      </c>
    </row>
    <row r="28" spans="1:16" ht="15" customHeight="1" x14ac:dyDescent="0.45">
      <c r="A28" s="23">
        <f t="shared" ca="1" si="0"/>
        <v>26</v>
      </c>
      <c r="B28" s="23">
        <f ca="1">IF(AND(ISNUMBER(D27),D27&lt;Parámetros!$B$5,ISNUMBER(K27),K27&lt;Parámetros!$B$5,A27&lt;MIN(Parámetros!$B$4,Parámetros!$B$10)),1,0)</f>
        <v>1</v>
      </c>
      <c r="C28" s="33">
        <f ca="1">IF(B28,-Parámetros!$B$11*LN(1-RAND()),"")</f>
        <v>2.7088610101329773</v>
      </c>
      <c r="D28" s="33">
        <f ca="1">IF(B28,MIN(D27+C28,Parámetros!$B$5),"")</f>
        <v>47.667654106268643</v>
      </c>
      <c r="E28" s="23" t="str">
        <f t="shared" ca="1" si="1"/>
        <v>INTERVENCIÓN</v>
      </c>
      <c r="F28" s="33">
        <f ca="1">IF(B28,ABS(IF(E28="INTERVENCIÓN",NORMINV(RAND(),Parámetros!$B$13,Parámetros!$B$14),0)),"")</f>
        <v>1.0685550623255966</v>
      </c>
      <c r="G28" s="33">
        <f t="shared" ca="1" si="2"/>
        <v>94.73339012248276</v>
      </c>
      <c r="H28" s="33">
        <f t="shared" ca="1" si="3"/>
        <v>95.801945184808361</v>
      </c>
      <c r="I28" s="33">
        <f t="shared" ca="1" si="4"/>
        <v>95.801945184808361</v>
      </c>
      <c r="J28" s="23">
        <f t="shared" ca="1" si="5"/>
        <v>2</v>
      </c>
      <c r="K28" s="33">
        <f t="shared" ca="1" si="6"/>
        <v>97.801945184808361</v>
      </c>
      <c r="L28" s="33">
        <f ca="1">IF(B28,MIN(Parámetros!$B$5-D28,-Parámetros!$B$12*LN(1-RAND())),"")</f>
        <v>192.33234589373137</v>
      </c>
      <c r="M28" s="33">
        <f t="shared" ca="1" si="7"/>
        <v>240</v>
      </c>
      <c r="N28" s="22">
        <f t="shared" ca="1" si="8"/>
        <v>22</v>
      </c>
      <c r="O28" s="22" t="str">
        <f ca="1">IF(E28="INTERVENCIÓN",IF(N28&gt;=Parámetros!$B$7,"SÍ","NO"),"-")</f>
        <v>SÍ</v>
      </c>
      <c r="P28" s="23" t="str">
        <f ca="1">IF(E28="INTERVENCIÓN",IF(N28&gt;=Parámetros!$B$7,CHOOSE(RANDBETWEEN(1,2),"APROBADO","NO APROBADO"),"NO APROBADA - Sin quórum"),"-")</f>
        <v>NO APROBADO</v>
      </c>
    </row>
    <row r="29" spans="1:16" ht="15" customHeight="1" x14ac:dyDescent="0.45">
      <c r="A29" s="22">
        <f t="shared" ca="1" si="0"/>
        <v>27</v>
      </c>
      <c r="B29" s="22">
        <f ca="1">IF(AND(ISNUMBER(D28),D28&lt;Parámetros!$B$5,ISNUMBER(K28),K28&lt;Parámetros!$B$5,A28&lt;MIN(Parámetros!$B$4,Parámetros!$B$10)),1,0)</f>
        <v>1</v>
      </c>
      <c r="C29" s="32">
        <f ca="1">IF(B29,-Parámetros!$B$11*LN(1-RAND()),"")</f>
        <v>0.63665900654070184</v>
      </c>
      <c r="D29" s="32">
        <f ca="1">IF(B29,MIN(D28+C29,Parámetros!$B$5),"")</f>
        <v>48.304313112809346</v>
      </c>
      <c r="E29" s="22" t="str">
        <f t="shared" ca="1" si="1"/>
        <v>INTERVENCIÓN</v>
      </c>
      <c r="F29" s="32">
        <f ca="1">IF(B29,ABS(IF(E29="INTERVENCIÓN",NORMINV(RAND(),Parámetros!$B$13,Parámetros!$B$14),0)),"")</f>
        <v>2.5474967871384626</v>
      </c>
      <c r="G29" s="32">
        <f t="shared" ca="1" si="2"/>
        <v>97.801945184808361</v>
      </c>
      <c r="H29" s="32">
        <f t="shared" ca="1" si="3"/>
        <v>100.34944197194682</v>
      </c>
      <c r="I29" s="32">
        <f t="shared" ca="1" si="4"/>
        <v>100.34944197194682</v>
      </c>
      <c r="J29" s="22">
        <f t="shared" ca="1" si="5"/>
        <v>2</v>
      </c>
      <c r="K29" s="32">
        <f t="shared" ca="1" si="6"/>
        <v>102.34944197194682</v>
      </c>
      <c r="L29" s="32">
        <f ca="1">IF(B29,MIN(Parámetros!$B$5-D29,-Parámetros!$B$12*LN(1-RAND())),"")</f>
        <v>8.9275637031862676</v>
      </c>
      <c r="M29" s="32">
        <f t="shared" ca="1" si="7"/>
        <v>57.231876815995612</v>
      </c>
      <c r="N29" s="22">
        <f t="shared" ca="1" si="8"/>
        <v>23</v>
      </c>
      <c r="O29" s="22" t="str">
        <f ca="1">IF(E29="INTERVENCIÓN",IF(N29&gt;=Parámetros!$B$7,"SÍ","NO"),"-")</f>
        <v>SÍ</v>
      </c>
      <c r="P29" s="23" t="str">
        <f ca="1">IF(E29="INTERVENCIÓN",IF(N29&gt;=Parámetros!$B$7,CHOOSE(RANDBETWEEN(1,2),"APROBADO","NO APROBADO"),"NO APROBADA - Sin quórum"),"-")</f>
        <v>NO APROBADO</v>
      </c>
    </row>
    <row r="30" spans="1:16" ht="15" customHeight="1" x14ac:dyDescent="0.45">
      <c r="A30" s="23">
        <f t="shared" ca="1" si="0"/>
        <v>28</v>
      </c>
      <c r="B30" s="23">
        <f ca="1">IF(AND(ISNUMBER(D29),D29&lt;Parámetros!$B$5,ISNUMBER(K29),K29&lt;Parámetros!$B$5,A29&lt;MIN(Parámetros!$B$4,Parámetros!$B$10)),1,0)</f>
        <v>1</v>
      </c>
      <c r="C30" s="33">
        <f ca="1">IF(B30,-Parámetros!$B$11*LN(1-RAND()),"")</f>
        <v>0.215840532190095</v>
      </c>
      <c r="D30" s="33">
        <f ca="1">IF(B30,MIN(D29+C30,Parámetros!$B$5),"")</f>
        <v>48.520153644999439</v>
      </c>
      <c r="E30" s="23" t="str">
        <f t="shared" ca="1" si="1"/>
        <v>VOTACIÓN</v>
      </c>
      <c r="F30" s="33">
        <f ca="1">IF(B30,ABS(IF(E30="INTERVENCIÓN",NORMINV(RAND(),Parámetros!$B$13,Parámetros!$B$14),0)),"")</f>
        <v>0</v>
      </c>
      <c r="G30" s="33" t="str">
        <f t="shared" ca="1" si="2"/>
        <v>Sin intervención</v>
      </c>
      <c r="H30" s="33" t="str">
        <f t="shared" ca="1" si="3"/>
        <v>Sin intervención</v>
      </c>
      <c r="I30" s="33">
        <f t="shared" ca="1" si="4"/>
        <v>100.34944197194682</v>
      </c>
      <c r="J30" s="23">
        <f t="shared" ca="1" si="5"/>
        <v>0</v>
      </c>
      <c r="K30" s="33">
        <f t="shared" ca="1" si="6"/>
        <v>102.34944197194682</v>
      </c>
      <c r="L30" s="33">
        <f ca="1">IF(B30,MIN(Parámetros!$B$5-D30,-Parámetros!$B$12*LN(1-RAND())),"")</f>
        <v>109.44855264409595</v>
      </c>
      <c r="M30" s="33">
        <f t="shared" ca="1" si="7"/>
        <v>157.96870628909539</v>
      </c>
      <c r="N30" s="22" t="str">
        <f t="shared" ca="1" si="8"/>
        <v>-</v>
      </c>
      <c r="O30" s="22" t="str">
        <f ca="1">IF(E30="INTERVENCIÓN",IF(N30&gt;=Parámetros!$B$7,"SÍ","NO"),"-")</f>
        <v>-</v>
      </c>
      <c r="P30" s="23" t="str">
        <f ca="1">IF(E30="INTERVENCIÓN",IF(N30&gt;=Parámetros!$B$7,CHOOSE(RANDBETWEEN(1,2),"APROBADO","NO APROBADO"),"NO APROBADA - Sin quórum"),"-")</f>
        <v>-</v>
      </c>
    </row>
    <row r="31" spans="1:16" ht="15" customHeight="1" x14ac:dyDescent="0.45">
      <c r="A31" s="22">
        <f t="shared" ca="1" si="0"/>
        <v>29</v>
      </c>
      <c r="B31" s="22">
        <f ca="1">IF(AND(ISNUMBER(D30),D30&lt;Parámetros!$B$5,ISNUMBER(K30),K30&lt;Parámetros!$B$5,A30&lt;MIN(Parámetros!$B$4,Parámetros!$B$10)),1,0)</f>
        <v>1</v>
      </c>
      <c r="C31" s="32">
        <f ca="1">IF(B31,-Parámetros!$B$11*LN(1-RAND()),"")</f>
        <v>1.9329315398134248</v>
      </c>
      <c r="D31" s="32">
        <f ca="1">IF(B31,MIN(D30+C31,Parámetros!$B$5),"")</f>
        <v>50.453085184812863</v>
      </c>
      <c r="E31" s="22" t="str">
        <f t="shared" ca="1" si="1"/>
        <v>VOTACIÓN</v>
      </c>
      <c r="F31" s="32">
        <f ca="1">IF(B31,ABS(IF(E31="INTERVENCIÓN",NORMINV(RAND(),Parámetros!$B$13,Parámetros!$B$14),0)),"")</f>
        <v>0</v>
      </c>
      <c r="G31" s="32" t="str">
        <f t="shared" ca="1" si="2"/>
        <v>Sin intervención</v>
      </c>
      <c r="H31" s="32" t="str">
        <f t="shared" ca="1" si="3"/>
        <v>Sin intervención</v>
      </c>
      <c r="I31" s="32">
        <f t="shared" ca="1" si="4"/>
        <v>100.34944197194682</v>
      </c>
      <c r="J31" s="22">
        <f t="shared" ca="1" si="5"/>
        <v>0</v>
      </c>
      <c r="K31" s="32">
        <f t="shared" ca="1" si="6"/>
        <v>102.34944197194682</v>
      </c>
      <c r="L31" s="32">
        <f ca="1">IF(B31,MIN(Parámetros!$B$5-D31,-Parámetros!$B$12*LN(1-RAND())),"")</f>
        <v>6.9216006109164026</v>
      </c>
      <c r="M31" s="32">
        <f t="shared" ca="1" si="7"/>
        <v>57.374685795729263</v>
      </c>
      <c r="N31" s="22" t="str">
        <f t="shared" ca="1" si="8"/>
        <v>-</v>
      </c>
      <c r="O31" s="22" t="str">
        <f ca="1">IF(E31="INTERVENCIÓN",IF(N31&gt;=Parámetros!$B$7,"SÍ","NO"),"-")</f>
        <v>-</v>
      </c>
      <c r="P31" s="23" t="str">
        <f ca="1">IF(E31="INTERVENCIÓN",IF(N31&gt;=Parámetros!$B$7,CHOOSE(RANDBETWEEN(1,2),"APROBADO","NO APROBADO"),"NO APROBADA - Sin quórum"),"-")</f>
        <v>-</v>
      </c>
    </row>
    <row r="32" spans="1:16" ht="15" customHeight="1" x14ac:dyDescent="0.45">
      <c r="A32" s="23">
        <f t="shared" ca="1" si="0"/>
        <v>30</v>
      </c>
      <c r="B32" s="23">
        <f ca="1">IF(AND(ISNUMBER(D31),D31&lt;Parámetros!$B$5,ISNUMBER(K31),K31&lt;Parámetros!$B$5,A31&lt;MIN(Parámetros!$B$4,Parámetros!$B$10)),1,0)</f>
        <v>1</v>
      </c>
      <c r="C32" s="33">
        <f ca="1">IF(B32,-Parámetros!$B$11*LN(1-RAND()),"")</f>
        <v>1.5291439887506786</v>
      </c>
      <c r="D32" s="33">
        <f ca="1">IF(B32,MIN(D31+C32,Parámetros!$B$5),"")</f>
        <v>51.982229173563539</v>
      </c>
      <c r="E32" s="23" t="str">
        <f t="shared" ca="1" si="1"/>
        <v>INTERVENCIÓN</v>
      </c>
      <c r="F32" s="33">
        <f ca="1">IF(B32,ABS(IF(E32="INTERVENCIÓN",NORMINV(RAND(),Parámetros!$B$13,Parámetros!$B$14),0)),"")</f>
        <v>2.2821640650303494</v>
      </c>
      <c r="G32" s="33">
        <f t="shared" ca="1" si="2"/>
        <v>102.34944197194682</v>
      </c>
      <c r="H32" s="33">
        <f t="shared" ca="1" si="3"/>
        <v>104.63160603697716</v>
      </c>
      <c r="I32" s="33">
        <f t="shared" ca="1" si="4"/>
        <v>104.63160603697716</v>
      </c>
      <c r="J32" s="23">
        <f t="shared" ca="1" si="5"/>
        <v>5</v>
      </c>
      <c r="K32" s="33">
        <f t="shared" ca="1" si="6"/>
        <v>109.63160603697716</v>
      </c>
      <c r="L32" s="33">
        <f ca="1">IF(B32,MIN(Parámetros!$B$5-D32,-Parámetros!$B$12*LN(1-RAND())),"")</f>
        <v>70.507804569312981</v>
      </c>
      <c r="M32" s="33">
        <f t="shared" ca="1" si="7"/>
        <v>122.49003374287652</v>
      </c>
      <c r="N32" s="22">
        <f t="shared" ca="1" si="8"/>
        <v>25</v>
      </c>
      <c r="O32" s="22" t="str">
        <f ca="1">IF(E32="INTERVENCIÓN",IF(N32&gt;=Parámetros!$B$7,"SÍ","NO"),"-")</f>
        <v>SÍ</v>
      </c>
      <c r="P32" s="23" t="str">
        <f ca="1">IF(E32="INTERVENCIÓN",IF(N32&gt;=Parámetros!$B$7,CHOOSE(RANDBETWEEN(1,2),"APROBADO","NO APROBADO"),"NO APROBADA - Sin quórum"),"-")</f>
        <v>APROBADO</v>
      </c>
    </row>
    <row r="33" spans="1:16" ht="15" customHeight="1" x14ac:dyDescent="0.45">
      <c r="A33" s="22">
        <f t="shared" ca="1" si="0"/>
        <v>31</v>
      </c>
      <c r="B33" s="22">
        <f ca="1">IF(AND(ISNUMBER(D32),D32&lt;Parámetros!$B$5,ISNUMBER(K32),K32&lt;Parámetros!$B$5,A32&lt;MIN(Parámetros!$B$4,Parámetros!$B$10)),1,0)</f>
        <v>1</v>
      </c>
      <c r="C33" s="32">
        <f ca="1">IF(B33,-Parámetros!$B$11*LN(1-RAND()),"")</f>
        <v>4.5495594125029042</v>
      </c>
      <c r="D33" s="32">
        <f ca="1">IF(B33,MIN(D32+C33,Parámetros!$B$5),"")</f>
        <v>56.53178858606644</v>
      </c>
      <c r="E33" s="22" t="str">
        <f t="shared" ca="1" si="1"/>
        <v>INTERVENCIÓN</v>
      </c>
      <c r="F33" s="32">
        <f ca="1">IF(B33,ABS(IF(E33="INTERVENCIÓN",NORMINV(RAND(),Parámetros!$B$13,Parámetros!$B$14),0)),"")</f>
        <v>2.5334800399715505</v>
      </c>
      <c r="G33" s="32">
        <f t="shared" ca="1" si="2"/>
        <v>109.63160603697716</v>
      </c>
      <c r="H33" s="32">
        <f t="shared" ca="1" si="3"/>
        <v>112.16508607694871</v>
      </c>
      <c r="I33" s="32">
        <f t="shared" ca="1" si="4"/>
        <v>112.16508607694871</v>
      </c>
      <c r="J33" s="22">
        <f t="shared" ca="1" si="5"/>
        <v>2</v>
      </c>
      <c r="K33" s="32">
        <f t="shared" ca="1" si="6"/>
        <v>114.16508607694871</v>
      </c>
      <c r="L33" s="32">
        <f ca="1">IF(B33,MIN(Parámetros!$B$5-D33,-Parámetros!$B$12*LN(1-RAND())),"")</f>
        <v>44.714749842904176</v>
      </c>
      <c r="M33" s="32">
        <f t="shared" ca="1" si="7"/>
        <v>101.24653842897061</v>
      </c>
      <c r="N33" s="22">
        <f t="shared" ca="1" si="8"/>
        <v>22</v>
      </c>
      <c r="O33" s="22" t="str">
        <f ca="1">IF(E33="INTERVENCIÓN",IF(N33&gt;=Parámetros!$B$7,"SÍ","NO"),"-")</f>
        <v>SÍ</v>
      </c>
      <c r="P33" s="23" t="str">
        <f ca="1">IF(E33="INTERVENCIÓN",IF(N33&gt;=Parámetros!$B$7,CHOOSE(RANDBETWEEN(1,2),"APROBADO","NO APROBADO"),"NO APROBADA - Sin quórum"),"-")</f>
        <v>APROBADO</v>
      </c>
    </row>
    <row r="34" spans="1:16" ht="15" customHeight="1" x14ac:dyDescent="0.45">
      <c r="A34" s="23">
        <f t="shared" ca="1" si="0"/>
        <v>32</v>
      </c>
      <c r="B34" s="23">
        <f ca="1">IF(AND(ISNUMBER(D33),D33&lt;Parámetros!$B$5,ISNUMBER(K33),K33&lt;Parámetros!$B$5,A33&lt;MIN(Parámetros!$B$4,Parámetros!$B$10)),1,0)</f>
        <v>1</v>
      </c>
      <c r="C34" s="33">
        <f ca="1">IF(B34,-Parámetros!$B$11*LN(1-RAND()),"")</f>
        <v>1.723562245210158</v>
      </c>
      <c r="D34" s="33">
        <f ca="1">IF(B34,MIN(D33+C34,Parámetros!$B$5),"")</f>
        <v>58.255350831276601</v>
      </c>
      <c r="E34" s="23" t="str">
        <f t="shared" ca="1" si="1"/>
        <v>VOTACIÓN</v>
      </c>
      <c r="F34" s="33">
        <f ca="1">IF(B34,ABS(IF(E34="INTERVENCIÓN",NORMINV(RAND(),Parámetros!$B$13,Parámetros!$B$14),0)),"")</f>
        <v>0</v>
      </c>
      <c r="G34" s="33" t="str">
        <f t="shared" ca="1" si="2"/>
        <v>Sin intervención</v>
      </c>
      <c r="H34" s="33" t="str">
        <f t="shared" ca="1" si="3"/>
        <v>Sin intervención</v>
      </c>
      <c r="I34" s="33">
        <f t="shared" ca="1" si="4"/>
        <v>112.16508607694871</v>
      </c>
      <c r="J34" s="23">
        <f t="shared" ca="1" si="5"/>
        <v>0</v>
      </c>
      <c r="K34" s="33">
        <f t="shared" ca="1" si="6"/>
        <v>114.16508607694871</v>
      </c>
      <c r="L34" s="33">
        <f ca="1">IF(B34,MIN(Parámetros!$B$5-D34,-Parámetros!$B$12*LN(1-RAND())),"")</f>
        <v>5.9358560569981815</v>
      </c>
      <c r="M34" s="33">
        <f t="shared" ca="1" si="7"/>
        <v>64.191206888274777</v>
      </c>
      <c r="N34" s="22" t="str">
        <f t="shared" ca="1" si="8"/>
        <v>-</v>
      </c>
      <c r="O34" s="22" t="str">
        <f ca="1">IF(E34="INTERVENCIÓN",IF(N34&gt;=Parámetros!$B$7,"SÍ","NO"),"-")</f>
        <v>-</v>
      </c>
      <c r="P34" s="23" t="str">
        <f ca="1">IF(E34="INTERVENCIÓN",IF(N34&gt;=Parámetros!$B$7,CHOOSE(RANDBETWEEN(1,2),"APROBADO","NO APROBADO"),"NO APROBADA - Sin quórum"),"-")</f>
        <v>-</v>
      </c>
    </row>
    <row r="35" spans="1:16" ht="15" customHeight="1" x14ac:dyDescent="0.45">
      <c r="A35" s="22">
        <f t="shared" ca="1" si="0"/>
        <v>33</v>
      </c>
      <c r="B35" s="22">
        <f ca="1">IF(AND(ISNUMBER(D34),D34&lt;Parámetros!$B$5,ISNUMBER(K34),K34&lt;Parámetros!$B$5,A34&lt;MIN(Parámetros!$B$4,Parámetros!$B$10)),1,0)</f>
        <v>1</v>
      </c>
      <c r="C35" s="32">
        <f ca="1">IF(B35,-Parámetros!$B$11*LN(1-RAND()),"")</f>
        <v>1.4986527072698086</v>
      </c>
      <c r="D35" s="32">
        <f ca="1">IF(B35,MIN(D34+C35,Parámetros!$B$5),"")</f>
        <v>59.754003538546407</v>
      </c>
      <c r="E35" s="22" t="str">
        <f t="shared" ca="1" si="1"/>
        <v>INTERVENCIÓN</v>
      </c>
      <c r="F35" s="32">
        <f ca="1">IF(B35,ABS(IF(E35="INTERVENCIÓN",NORMINV(RAND(),Parámetros!$B$13,Parámetros!$B$14),0)),"")</f>
        <v>2.1383762132814748</v>
      </c>
      <c r="G35" s="32">
        <f t="shared" ca="1" si="2"/>
        <v>114.16508607694871</v>
      </c>
      <c r="H35" s="32">
        <f t="shared" ca="1" si="3"/>
        <v>116.30346229023019</v>
      </c>
      <c r="I35" s="32">
        <f t="shared" ca="1" si="4"/>
        <v>116.30346229023019</v>
      </c>
      <c r="J35" s="22">
        <f t="shared" ca="1" si="5"/>
        <v>3</v>
      </c>
      <c r="K35" s="32">
        <f t="shared" ca="1" si="6"/>
        <v>119.30346229023019</v>
      </c>
      <c r="L35" s="32">
        <f ca="1">IF(B35,MIN(Parámetros!$B$5-D35,-Parámetros!$B$12*LN(1-RAND())),"")</f>
        <v>30.008650483134936</v>
      </c>
      <c r="M35" s="32">
        <f t="shared" ca="1" si="7"/>
        <v>89.762654021681342</v>
      </c>
      <c r="N35" s="22">
        <f t="shared" ca="1" si="8"/>
        <v>22</v>
      </c>
      <c r="O35" s="22" t="str">
        <f ca="1">IF(E35="INTERVENCIÓN",IF(N35&gt;=Parámetros!$B$7,"SÍ","NO"),"-")</f>
        <v>SÍ</v>
      </c>
      <c r="P35" s="23" t="str">
        <f ca="1">IF(E35="INTERVENCIÓN",IF(N35&gt;=Parámetros!$B$7,CHOOSE(RANDBETWEEN(1,2),"APROBADO","NO APROBADO"),"NO APROBADA - Sin quórum"),"-")</f>
        <v>APROBADO</v>
      </c>
    </row>
    <row r="36" spans="1:16" ht="15" customHeight="1" x14ac:dyDescent="0.45">
      <c r="A36" s="23">
        <f t="shared" ref="A36:A67" ca="1" si="9">IF(B36,A35+1,"")</f>
        <v>34</v>
      </c>
      <c r="B36" s="23">
        <f ca="1">IF(AND(ISNUMBER(D35),D35&lt;Parámetros!$B$5,ISNUMBER(K35),K35&lt;Parámetros!$B$5,A35&lt;MIN(Parámetros!$B$4,Parámetros!$B$10)),1,0)</f>
        <v>1</v>
      </c>
      <c r="C36" s="33">
        <f ca="1">IF(B36,-Parámetros!$B$11*LN(1-RAND()),"")</f>
        <v>1.253103807835857</v>
      </c>
      <c r="D36" s="33">
        <f ca="1">IF(B36,MIN(D35+C36,Parámetros!$B$5),"")</f>
        <v>61.007107346382263</v>
      </c>
      <c r="E36" s="23" t="str">
        <f t="shared" ref="E36:E67" ca="1" si="10">IF(B36,CHOOSE(RANDBETWEEN(1,2),"INTERVENCIÓN","VOTACIÓN"),"")</f>
        <v>INTERVENCIÓN</v>
      </c>
      <c r="F36" s="33">
        <f ca="1">IF(B36,ABS(IF(E36="INTERVENCIÓN",NORMINV(RAND(),Parámetros!$B$13,Parámetros!$B$14),0)),"")</f>
        <v>1.109224381645783</v>
      </c>
      <c r="G36" s="33">
        <f t="shared" ref="G36:G67" ca="1" si="11">IF(B36,IF(E36="INTERVENCIÓN",K35,"Sin intervención"),"")</f>
        <v>119.30346229023019</v>
      </c>
      <c r="H36" s="33">
        <f t="shared" ref="H36:H67" ca="1" si="12">IF(B36,IF(G36="Sin intervención","Sin intervención",F36+G36),"")</f>
        <v>120.41268667187597</v>
      </c>
      <c r="I36" s="33">
        <f t="shared" ref="I36:I67" ca="1" si="13">IF(B36,IF(E36="VOTACIÓN",I35,H36),"")</f>
        <v>120.41268667187597</v>
      </c>
      <c r="J36" s="23">
        <f t="shared" ref="J36:J67" ca="1" si="14">IF(B36,IF(E36="INTERVENCIÓN",RANDBETWEEN(2,5),0),"")</f>
        <v>4</v>
      </c>
      <c r="K36" s="33">
        <f t="shared" ref="K36:K67" ca="1" si="15">IF(B36,IF(E36="VOTACIÓN",K35,I36+J36),"")</f>
        <v>124.41268667187597</v>
      </c>
      <c r="L36" s="33">
        <f ca="1">IF(B36,MIN(Parámetros!$B$5-D36,-Parámetros!$B$12*LN(1-RAND())),"")</f>
        <v>14.10347720170998</v>
      </c>
      <c r="M36" s="33">
        <f t="shared" ref="M36:M67" ca="1" si="16">IF(B36,D36+L36,"")</f>
        <v>75.110584548092248</v>
      </c>
      <c r="N36" s="22">
        <f t="shared" ca="1" si="8"/>
        <v>23</v>
      </c>
      <c r="O36" s="22" t="str">
        <f ca="1">IF(E36="INTERVENCIÓN",IF(N36&gt;=Parámetros!$B$7,"SÍ","NO"),"-")</f>
        <v>SÍ</v>
      </c>
      <c r="P36" s="23" t="str">
        <f ca="1">IF(E36="INTERVENCIÓN",IF(N36&gt;=Parámetros!$B$7,CHOOSE(RANDBETWEEN(1,2),"APROBADO","NO APROBADO"),"NO APROBADA - Sin quórum"),"-")</f>
        <v>APROBADO</v>
      </c>
    </row>
    <row r="37" spans="1:16" ht="15" customHeight="1" x14ac:dyDescent="0.45">
      <c r="A37" s="22">
        <f t="shared" ca="1" si="9"/>
        <v>35</v>
      </c>
      <c r="B37" s="22">
        <f ca="1">IF(AND(ISNUMBER(D36),D36&lt;Parámetros!$B$5,ISNUMBER(K36),K36&lt;Parámetros!$B$5,A36&lt;MIN(Parámetros!$B$4,Parámetros!$B$10)),1,0)</f>
        <v>1</v>
      </c>
      <c r="C37" s="32">
        <f ca="1">IF(B37,-Parámetros!$B$11*LN(1-RAND()),"")</f>
        <v>1.7366914413740033</v>
      </c>
      <c r="D37" s="32">
        <f ca="1">IF(B37,MIN(D36+C37,Parámetros!$B$5),"")</f>
        <v>62.743798787756269</v>
      </c>
      <c r="E37" s="22" t="str">
        <f t="shared" ca="1" si="10"/>
        <v>INTERVENCIÓN</v>
      </c>
      <c r="F37" s="32">
        <f ca="1">IF(B37,ABS(IF(E37="INTERVENCIÓN",NORMINV(RAND(),Parámetros!$B$13,Parámetros!$B$14),0)),"")</f>
        <v>0.43563675209351782</v>
      </c>
      <c r="G37" s="32">
        <f t="shared" ca="1" si="11"/>
        <v>124.41268667187597</v>
      </c>
      <c r="H37" s="32">
        <f t="shared" ca="1" si="12"/>
        <v>124.84832342396949</v>
      </c>
      <c r="I37" s="32">
        <f t="shared" ca="1" si="13"/>
        <v>124.84832342396949</v>
      </c>
      <c r="J37" s="22">
        <f t="shared" ca="1" si="14"/>
        <v>3</v>
      </c>
      <c r="K37" s="32">
        <f t="shared" ca="1" si="15"/>
        <v>127.84832342396949</v>
      </c>
      <c r="L37" s="32">
        <f ca="1">IF(B37,MIN(Parámetros!$B$5-D37,-Parámetros!$B$12*LN(1-RAND())),"")</f>
        <v>55.378759834960803</v>
      </c>
      <c r="M37" s="32">
        <f t="shared" ca="1" si="16"/>
        <v>118.12255862271707</v>
      </c>
      <c r="N37" s="22">
        <f t="shared" ca="1" si="8"/>
        <v>24</v>
      </c>
      <c r="O37" s="22" t="str">
        <f ca="1">IF(E37="INTERVENCIÓN",IF(N37&gt;=Parámetros!$B$7,"SÍ","NO"),"-")</f>
        <v>SÍ</v>
      </c>
      <c r="P37" s="23" t="str">
        <f ca="1">IF(E37="INTERVENCIÓN",IF(N37&gt;=Parámetros!$B$7,CHOOSE(RANDBETWEEN(1,2),"APROBADO","NO APROBADO"),"NO APROBADA - Sin quórum"),"-")</f>
        <v>NO APROBADO</v>
      </c>
    </row>
    <row r="38" spans="1:16" ht="15" customHeight="1" x14ac:dyDescent="0.45">
      <c r="A38" s="23">
        <f t="shared" ca="1" si="9"/>
        <v>36</v>
      </c>
      <c r="B38" s="23">
        <f ca="1">IF(AND(ISNUMBER(D37),D37&lt;Parámetros!$B$5,ISNUMBER(K37),K37&lt;Parámetros!$B$5,A37&lt;MIN(Parámetros!$B$4,Parámetros!$B$10)),1,0)</f>
        <v>1</v>
      </c>
      <c r="C38" s="33">
        <f ca="1">IF(B38,-Parámetros!$B$11*LN(1-RAND()),"")</f>
        <v>1.4290814095744657</v>
      </c>
      <c r="D38" s="33">
        <f ca="1">IF(B38,MIN(D37+C38,Parámetros!$B$5),"")</f>
        <v>64.172880197330741</v>
      </c>
      <c r="E38" s="23" t="str">
        <f t="shared" ca="1" si="10"/>
        <v>VOTACIÓN</v>
      </c>
      <c r="F38" s="33">
        <f ca="1">IF(B38,ABS(IF(E38="INTERVENCIÓN",NORMINV(RAND(),Parámetros!$B$13,Parámetros!$B$14),0)),"")</f>
        <v>0</v>
      </c>
      <c r="G38" s="33" t="str">
        <f t="shared" ca="1" si="11"/>
        <v>Sin intervención</v>
      </c>
      <c r="H38" s="33" t="str">
        <f t="shared" ca="1" si="12"/>
        <v>Sin intervención</v>
      </c>
      <c r="I38" s="33">
        <f t="shared" ca="1" si="13"/>
        <v>124.84832342396949</v>
      </c>
      <c r="J38" s="23">
        <f t="shared" ca="1" si="14"/>
        <v>0</v>
      </c>
      <c r="K38" s="33">
        <f t="shared" ca="1" si="15"/>
        <v>127.84832342396949</v>
      </c>
      <c r="L38" s="33">
        <f ca="1">IF(B38,MIN(Parámetros!$B$5-D38,-Parámetros!$B$12*LN(1-RAND())),"")</f>
        <v>164.13393307896573</v>
      </c>
      <c r="M38" s="33">
        <f t="shared" ca="1" si="16"/>
        <v>228.30681327629645</v>
      </c>
      <c r="N38" s="22" t="str">
        <f t="shared" ca="1" si="8"/>
        <v>-</v>
      </c>
      <c r="O38" s="22" t="str">
        <f ca="1">IF(E38="INTERVENCIÓN",IF(N38&gt;=Parámetros!$B$7,"SÍ","NO"),"-")</f>
        <v>-</v>
      </c>
      <c r="P38" s="23" t="str">
        <f ca="1">IF(E38="INTERVENCIÓN",IF(N38&gt;=Parámetros!$B$7,CHOOSE(RANDBETWEEN(1,2),"APROBADO","NO APROBADO"),"NO APROBADA - Sin quórum"),"-")</f>
        <v>-</v>
      </c>
    </row>
    <row r="39" spans="1:16" ht="15" customHeight="1" x14ac:dyDescent="0.45">
      <c r="A39" s="22">
        <f t="shared" ca="1" si="9"/>
        <v>37</v>
      </c>
      <c r="B39" s="22">
        <f ca="1">IF(AND(ISNUMBER(D38),D38&lt;Parámetros!$B$5,ISNUMBER(K38),K38&lt;Parámetros!$B$5,A38&lt;MIN(Parámetros!$B$4,Parámetros!$B$10)),1,0)</f>
        <v>1</v>
      </c>
      <c r="C39" s="32">
        <f ca="1">IF(B39,-Parámetros!$B$11*LN(1-RAND()),"")</f>
        <v>1.5252873879185575E-2</v>
      </c>
      <c r="D39" s="32">
        <f ca="1">IF(B39,MIN(D38+C39,Parámetros!$B$5),"")</f>
        <v>64.188133071209933</v>
      </c>
      <c r="E39" s="22" t="str">
        <f t="shared" ca="1" si="10"/>
        <v>INTERVENCIÓN</v>
      </c>
      <c r="F39" s="32">
        <f ca="1">IF(B39,ABS(IF(E39="INTERVENCIÓN",NORMINV(RAND(),Parámetros!$B$13,Parámetros!$B$14),0)),"")</f>
        <v>0.79250967828337826</v>
      </c>
      <c r="G39" s="32">
        <f t="shared" ca="1" si="11"/>
        <v>127.84832342396949</v>
      </c>
      <c r="H39" s="32">
        <f t="shared" ca="1" si="12"/>
        <v>128.64083310225286</v>
      </c>
      <c r="I39" s="32">
        <f t="shared" ca="1" si="13"/>
        <v>128.64083310225286</v>
      </c>
      <c r="J39" s="22">
        <f t="shared" ca="1" si="14"/>
        <v>3</v>
      </c>
      <c r="K39" s="32">
        <f t="shared" ca="1" si="15"/>
        <v>131.64083310225286</v>
      </c>
      <c r="L39" s="32">
        <f ca="1">IF(B39,MIN(Parámetros!$B$5-D39,-Parámetros!$B$12*LN(1-RAND())),"")</f>
        <v>26.136801660125535</v>
      </c>
      <c r="M39" s="32">
        <f t="shared" ca="1" si="16"/>
        <v>90.324934731335475</v>
      </c>
      <c r="N39" s="22">
        <f t="shared" ca="1" si="8"/>
        <v>26</v>
      </c>
      <c r="O39" s="22" t="str">
        <f ca="1">IF(E39="INTERVENCIÓN",IF(N39&gt;=Parámetros!$B$7,"SÍ","NO"),"-")</f>
        <v>SÍ</v>
      </c>
      <c r="P39" s="23" t="str">
        <f ca="1">IF(E39="INTERVENCIÓN",IF(N39&gt;=Parámetros!$B$7,CHOOSE(RANDBETWEEN(1,2),"APROBADO","NO APROBADO"),"NO APROBADA - Sin quórum"),"-")</f>
        <v>NO APROBADO</v>
      </c>
    </row>
    <row r="40" spans="1:16" ht="15" customHeight="1" x14ac:dyDescent="0.45">
      <c r="A40" s="23">
        <f t="shared" ca="1" si="9"/>
        <v>38</v>
      </c>
      <c r="B40" s="23">
        <f ca="1">IF(AND(ISNUMBER(D39),D39&lt;Parámetros!$B$5,ISNUMBER(K39),K39&lt;Parámetros!$B$5,A39&lt;MIN(Parámetros!$B$4,Parámetros!$B$10)),1,0)</f>
        <v>1</v>
      </c>
      <c r="C40" s="33">
        <f ca="1">IF(B40,-Parámetros!$B$11*LN(1-RAND()),"")</f>
        <v>1.8984911871984027</v>
      </c>
      <c r="D40" s="33">
        <f ca="1">IF(B40,MIN(D39+C40,Parámetros!$B$5),"")</f>
        <v>66.086624258408335</v>
      </c>
      <c r="E40" s="23" t="str">
        <f t="shared" ca="1" si="10"/>
        <v>INTERVENCIÓN</v>
      </c>
      <c r="F40" s="33">
        <f ca="1">IF(B40,ABS(IF(E40="INTERVENCIÓN",NORMINV(RAND(),Parámetros!$B$13,Parámetros!$B$14),0)),"")</f>
        <v>2.8825030384738355</v>
      </c>
      <c r="G40" s="33">
        <f t="shared" ca="1" si="11"/>
        <v>131.64083310225286</v>
      </c>
      <c r="H40" s="33">
        <f t="shared" ca="1" si="12"/>
        <v>134.52333614072668</v>
      </c>
      <c r="I40" s="33">
        <f t="shared" ca="1" si="13"/>
        <v>134.52333614072668</v>
      </c>
      <c r="J40" s="23">
        <f t="shared" ca="1" si="14"/>
        <v>2</v>
      </c>
      <c r="K40" s="33">
        <f t="shared" ca="1" si="15"/>
        <v>136.52333614072668</v>
      </c>
      <c r="L40" s="33">
        <f ca="1">IF(B40,MIN(Parámetros!$B$5-D40,-Parámetros!$B$12*LN(1-RAND())),"")</f>
        <v>112.89766044600405</v>
      </c>
      <c r="M40" s="33">
        <f t="shared" ca="1" si="16"/>
        <v>178.9842847044124</v>
      </c>
      <c r="N40" s="22">
        <f t="shared" ca="1" si="8"/>
        <v>26</v>
      </c>
      <c r="O40" s="22" t="str">
        <f ca="1">IF(E40="INTERVENCIÓN",IF(N40&gt;=Parámetros!$B$7,"SÍ","NO"),"-")</f>
        <v>SÍ</v>
      </c>
      <c r="P40" s="23" t="str">
        <f ca="1">IF(E40="INTERVENCIÓN",IF(N40&gt;=Parámetros!$B$7,CHOOSE(RANDBETWEEN(1,2),"APROBADO","NO APROBADO"),"NO APROBADA - Sin quórum"),"-")</f>
        <v>NO APROBADO</v>
      </c>
    </row>
    <row r="41" spans="1:16" ht="15" customHeight="1" x14ac:dyDescent="0.45">
      <c r="A41" s="22">
        <f t="shared" ca="1" si="9"/>
        <v>39</v>
      </c>
      <c r="B41" s="22">
        <f ca="1">IF(AND(ISNUMBER(D40),D40&lt;Parámetros!$B$5,ISNUMBER(K40),K40&lt;Parámetros!$B$5,A40&lt;MIN(Parámetros!$B$4,Parámetros!$B$10)),1,0)</f>
        <v>1</v>
      </c>
      <c r="C41" s="32">
        <f ca="1">IF(B41,-Parámetros!$B$11*LN(1-RAND()),"")</f>
        <v>0.39879838533283396</v>
      </c>
      <c r="D41" s="32">
        <f ca="1">IF(B41,MIN(D40+C41,Parámetros!$B$5),"")</f>
        <v>66.485422643741174</v>
      </c>
      <c r="E41" s="22" t="str">
        <f t="shared" ca="1" si="10"/>
        <v>VOTACIÓN</v>
      </c>
      <c r="F41" s="32">
        <f ca="1">IF(B41,ABS(IF(E41="INTERVENCIÓN",NORMINV(RAND(),Parámetros!$B$13,Parámetros!$B$14),0)),"")</f>
        <v>0</v>
      </c>
      <c r="G41" s="32" t="str">
        <f t="shared" ca="1" si="11"/>
        <v>Sin intervención</v>
      </c>
      <c r="H41" s="32" t="str">
        <f t="shared" ca="1" si="12"/>
        <v>Sin intervención</v>
      </c>
      <c r="I41" s="32">
        <f t="shared" ca="1" si="13"/>
        <v>134.52333614072668</v>
      </c>
      <c r="J41" s="22">
        <f t="shared" ca="1" si="14"/>
        <v>0</v>
      </c>
      <c r="K41" s="32">
        <f t="shared" ca="1" si="15"/>
        <v>136.52333614072668</v>
      </c>
      <c r="L41" s="32">
        <f ca="1">IF(B41,MIN(Parámetros!$B$5-D41,-Parámetros!$B$12*LN(1-RAND())),"")</f>
        <v>63.504749764001943</v>
      </c>
      <c r="M41" s="32">
        <f t="shared" ca="1" si="16"/>
        <v>129.9901724077431</v>
      </c>
      <c r="N41" s="22" t="str">
        <f t="shared" ca="1" si="8"/>
        <v>-</v>
      </c>
      <c r="O41" s="22" t="str">
        <f ca="1">IF(E41="INTERVENCIÓN",IF(N41&gt;=Parámetros!$B$7,"SÍ","NO"),"-")</f>
        <v>-</v>
      </c>
      <c r="P41" s="23" t="str">
        <f ca="1">IF(E41="INTERVENCIÓN",IF(N41&gt;=Parámetros!$B$7,CHOOSE(RANDBETWEEN(1,2),"APROBADO","NO APROBADO"),"NO APROBADA - Sin quórum"),"-")</f>
        <v>-</v>
      </c>
    </row>
    <row r="42" spans="1:16" ht="15" customHeight="1" x14ac:dyDescent="0.45">
      <c r="A42" s="23">
        <f t="shared" ca="1" si="9"/>
        <v>40</v>
      </c>
      <c r="B42" s="23">
        <f ca="1">IF(AND(ISNUMBER(D41),D41&lt;Parámetros!$B$5,ISNUMBER(K41),K41&lt;Parámetros!$B$5,A41&lt;MIN(Parámetros!$B$4,Parámetros!$B$10)),1,0)</f>
        <v>1</v>
      </c>
      <c r="C42" s="33">
        <f ca="1">IF(B42,-Parámetros!$B$11*LN(1-RAND()),"")</f>
        <v>5.5621289375194598</v>
      </c>
      <c r="D42" s="33">
        <f ca="1">IF(B42,MIN(D41+C42,Parámetros!$B$5),"")</f>
        <v>72.047551581260635</v>
      </c>
      <c r="E42" s="23" t="str">
        <f t="shared" ca="1" si="10"/>
        <v>INTERVENCIÓN</v>
      </c>
      <c r="F42" s="33">
        <f ca="1">IF(B42,ABS(IF(E42="INTERVENCIÓN",NORMINV(RAND(),Parámetros!$B$13,Parámetros!$B$14),0)),"")</f>
        <v>1.5167931803805224</v>
      </c>
      <c r="G42" s="33">
        <f t="shared" ca="1" si="11"/>
        <v>136.52333614072668</v>
      </c>
      <c r="H42" s="33">
        <f t="shared" ca="1" si="12"/>
        <v>138.0401293211072</v>
      </c>
      <c r="I42" s="33">
        <f t="shared" ca="1" si="13"/>
        <v>138.0401293211072</v>
      </c>
      <c r="J42" s="23">
        <f t="shared" ca="1" si="14"/>
        <v>5</v>
      </c>
      <c r="K42" s="33">
        <f t="shared" ca="1" si="15"/>
        <v>143.0401293211072</v>
      </c>
      <c r="L42" s="33">
        <f ca="1">IF(B42,MIN(Parámetros!$B$5-D42,-Parámetros!$B$12*LN(1-RAND())),"")</f>
        <v>91.553408366501017</v>
      </c>
      <c r="M42" s="33">
        <f t="shared" ca="1" si="16"/>
        <v>163.60095994776165</v>
      </c>
      <c r="N42" s="22">
        <f t="shared" ca="1" si="8"/>
        <v>28</v>
      </c>
      <c r="O42" s="22" t="str">
        <f ca="1">IF(E42="INTERVENCIÓN",IF(N42&gt;=Parámetros!$B$7,"SÍ","NO"),"-")</f>
        <v>SÍ</v>
      </c>
      <c r="P42" s="23" t="str">
        <f ca="1">IF(E42="INTERVENCIÓN",IF(N42&gt;=Parámetros!$B$7,CHOOSE(RANDBETWEEN(1,2),"APROBADO","NO APROBADO"),"NO APROBADA - Sin quórum"),"-")</f>
        <v>APROBADO</v>
      </c>
    </row>
    <row r="43" spans="1:16" ht="15" customHeight="1" x14ac:dyDescent="0.45">
      <c r="A43" s="22" t="str">
        <f t="shared" ca="1" si="9"/>
        <v/>
      </c>
      <c r="B43" s="22">
        <f ca="1">IF(AND(ISNUMBER(D42),D42&lt;Parámetros!$B$5,ISNUMBER(K42),K42&lt;Parámetros!$B$5,A42&lt;MIN(Parámetros!$B$4,Parámetros!$B$10)),1,0)</f>
        <v>0</v>
      </c>
      <c r="C43" s="32" t="str">
        <f ca="1">IF(B43,-Parámetros!$B$11*LN(1-RAND()),"")</f>
        <v/>
      </c>
      <c r="D43" s="32" t="str">
        <f ca="1">IF(B43,MIN(D42+C43,Parámetros!$B$5),"")</f>
        <v/>
      </c>
      <c r="E43" s="22" t="str">
        <f t="shared" ca="1" si="10"/>
        <v/>
      </c>
      <c r="F43" s="32" t="str">
        <f ca="1">IF(B43,ABS(IF(E43="INTERVENCIÓN",NORMINV(RAND(),Parámetros!$B$13,Parámetros!$B$14),0)),"")</f>
        <v/>
      </c>
      <c r="G43" s="32" t="str">
        <f t="shared" ca="1" si="11"/>
        <v/>
      </c>
      <c r="H43" s="32" t="str">
        <f t="shared" ca="1" si="12"/>
        <v/>
      </c>
      <c r="I43" s="32" t="str">
        <f t="shared" ca="1" si="13"/>
        <v/>
      </c>
      <c r="J43" s="22" t="str">
        <f t="shared" ca="1" si="14"/>
        <v/>
      </c>
      <c r="K43" s="32" t="str">
        <f t="shared" ca="1" si="15"/>
        <v/>
      </c>
      <c r="L43" s="32" t="str">
        <f ca="1">IF(B43,MIN(Parámetros!$B$5-D43,-Parámetros!$B$12*LN(1-RAND())),"")</f>
        <v/>
      </c>
      <c r="M43" s="32" t="str">
        <f t="shared" ca="1" si="16"/>
        <v/>
      </c>
      <c r="N43" s="22" t="str">
        <f t="shared" ca="1" si="8"/>
        <v>-</v>
      </c>
      <c r="O43" s="22" t="str">
        <f ca="1">IF(E43="INTERVENCIÓN",IF(N43&gt;=Parámetros!$B$7,"SÍ","NO"),"-")</f>
        <v>-</v>
      </c>
      <c r="P43" s="23" t="str">
        <f ca="1">IF(E43="INTERVENCIÓN",IF(N43&gt;=Parámetros!$B$7,CHOOSE(RANDBETWEEN(1,2),"APROBADO","NO APROBADO"),"NO APROBADA - Sin quórum"),"-")</f>
        <v>-</v>
      </c>
    </row>
    <row r="44" spans="1:16" ht="15" customHeight="1" x14ac:dyDescent="0.45">
      <c r="A44" s="23" t="str">
        <f t="shared" ca="1" si="9"/>
        <v/>
      </c>
      <c r="B44" s="23">
        <f ca="1">IF(AND(ISNUMBER(D43),D43&lt;Parámetros!$B$5,ISNUMBER(K43),K43&lt;Parámetros!$B$5,A43&lt;MIN(Parámetros!$B$4,Parámetros!$B$10)),1,0)</f>
        <v>0</v>
      </c>
      <c r="C44" s="33" t="str">
        <f ca="1">IF(B44,-Parámetros!$B$11*LN(1-RAND()),"")</f>
        <v/>
      </c>
      <c r="D44" s="33" t="str">
        <f ca="1">IF(B44,MIN(D43+C44,Parámetros!$B$5),"")</f>
        <v/>
      </c>
      <c r="E44" s="23" t="str">
        <f t="shared" ca="1" si="10"/>
        <v/>
      </c>
      <c r="F44" s="33" t="str">
        <f ca="1">IF(B44,ABS(IF(E44="INTERVENCIÓN",NORMINV(RAND(),Parámetros!$B$13,Parámetros!$B$14),0)),"")</f>
        <v/>
      </c>
      <c r="G44" s="33" t="str">
        <f t="shared" ca="1" si="11"/>
        <v/>
      </c>
      <c r="H44" s="33" t="str">
        <f t="shared" ca="1" si="12"/>
        <v/>
      </c>
      <c r="I44" s="33" t="str">
        <f t="shared" ca="1" si="13"/>
        <v/>
      </c>
      <c r="J44" s="23" t="str">
        <f t="shared" ca="1" si="14"/>
        <v/>
      </c>
      <c r="K44" s="33" t="str">
        <f t="shared" ca="1" si="15"/>
        <v/>
      </c>
      <c r="L44" s="33" t="str">
        <f ca="1">IF(B44,MIN(Parámetros!$B$5-D44,-Parámetros!$B$12*LN(1-RAND())),"")</f>
        <v/>
      </c>
      <c r="M44" s="33" t="str">
        <f t="shared" ca="1" si="16"/>
        <v/>
      </c>
      <c r="N44" s="22" t="str">
        <f t="shared" ca="1" si="8"/>
        <v>-</v>
      </c>
      <c r="O44" s="22" t="str">
        <f ca="1">IF(E44="INTERVENCIÓN",IF(N44&gt;=Parámetros!$B$7,"SÍ","NO"),"-")</f>
        <v>-</v>
      </c>
      <c r="P44" s="23" t="str">
        <f ca="1">IF(E44="INTERVENCIÓN",IF(N44&gt;=Parámetros!$B$7,CHOOSE(RANDBETWEEN(1,2),"APROBADO","NO APROBADO"),"NO APROBADA - Sin quórum"),"-")</f>
        <v>-</v>
      </c>
    </row>
    <row r="45" spans="1:16" ht="15" customHeight="1" x14ac:dyDescent="0.45">
      <c r="A45" s="22" t="str">
        <f t="shared" ca="1" si="9"/>
        <v/>
      </c>
      <c r="B45" s="22">
        <f ca="1">IF(AND(ISNUMBER(D44),D44&lt;Parámetros!$B$5,ISNUMBER(K44),K44&lt;Parámetros!$B$5,A44&lt;MIN(Parámetros!$B$4,Parámetros!$B$10)),1,0)</f>
        <v>0</v>
      </c>
      <c r="C45" s="32" t="str">
        <f ca="1">IF(B45,-Parámetros!$B$11*LN(1-RAND()),"")</f>
        <v/>
      </c>
      <c r="D45" s="32" t="str">
        <f ca="1">IF(B45,MIN(D44+C45,Parámetros!$B$5),"")</f>
        <v/>
      </c>
      <c r="E45" s="22" t="str">
        <f t="shared" ca="1" si="10"/>
        <v/>
      </c>
      <c r="F45" s="32" t="str">
        <f ca="1">IF(B45,ABS(IF(E45="INTERVENCIÓN",NORMINV(RAND(),Parámetros!$B$13,Parámetros!$B$14),0)),"")</f>
        <v/>
      </c>
      <c r="G45" s="32" t="str">
        <f t="shared" ca="1" si="11"/>
        <v/>
      </c>
      <c r="H45" s="32" t="str">
        <f t="shared" ca="1" si="12"/>
        <v/>
      </c>
      <c r="I45" s="32" t="str">
        <f t="shared" ca="1" si="13"/>
        <v/>
      </c>
      <c r="J45" s="22" t="str">
        <f t="shared" ca="1" si="14"/>
        <v/>
      </c>
      <c r="K45" s="32" t="str">
        <f t="shared" ca="1" si="15"/>
        <v/>
      </c>
      <c r="L45" s="32" t="str">
        <f ca="1">IF(B45,MIN(Parámetros!$B$5-D45,-Parámetros!$B$12*LN(1-RAND())),"")</f>
        <v/>
      </c>
      <c r="M45" s="32" t="str">
        <f t="shared" ca="1" si="16"/>
        <v/>
      </c>
      <c r="N45" s="22" t="str">
        <f t="shared" ca="1" si="8"/>
        <v>-</v>
      </c>
      <c r="O45" s="22" t="str">
        <f ca="1">IF(E45="INTERVENCIÓN",IF(N45&gt;=Parámetros!$B$7,"SÍ","NO"),"-")</f>
        <v>-</v>
      </c>
      <c r="P45" s="23" t="str">
        <f ca="1">IF(E45="INTERVENCIÓN",IF(N45&gt;=Parámetros!$B$7,CHOOSE(RANDBETWEEN(1,2),"APROBADO","NO APROBADO"),"NO APROBADA - Sin quórum"),"-")</f>
        <v>-</v>
      </c>
    </row>
    <row r="46" spans="1:16" ht="15" customHeight="1" x14ac:dyDescent="0.45">
      <c r="A46" s="23" t="str">
        <f t="shared" ca="1" si="9"/>
        <v/>
      </c>
      <c r="B46" s="23">
        <f ca="1">IF(AND(ISNUMBER(D45),D45&lt;Parámetros!$B$5,ISNUMBER(K45),K45&lt;Parámetros!$B$5,A45&lt;MIN(Parámetros!$B$4,Parámetros!$B$10)),1,0)</f>
        <v>0</v>
      </c>
      <c r="C46" s="33" t="str">
        <f ca="1">IF(B46,-Parámetros!$B$11*LN(1-RAND()),"")</f>
        <v/>
      </c>
      <c r="D46" s="33" t="str">
        <f ca="1">IF(B46,MIN(D45+C46,Parámetros!$B$5),"")</f>
        <v/>
      </c>
      <c r="E46" s="23" t="str">
        <f t="shared" ca="1" si="10"/>
        <v/>
      </c>
      <c r="F46" s="33" t="str">
        <f ca="1">IF(B46,ABS(IF(E46="INTERVENCIÓN",NORMINV(RAND(),Parámetros!$B$13,Parámetros!$B$14),0)),"")</f>
        <v/>
      </c>
      <c r="G46" s="33" t="str">
        <f t="shared" ca="1" si="11"/>
        <v/>
      </c>
      <c r="H46" s="33" t="str">
        <f t="shared" ca="1" si="12"/>
        <v/>
      </c>
      <c r="I46" s="33" t="str">
        <f t="shared" ca="1" si="13"/>
        <v/>
      </c>
      <c r="J46" s="23" t="str">
        <f t="shared" ca="1" si="14"/>
        <v/>
      </c>
      <c r="K46" s="33" t="str">
        <f t="shared" ca="1" si="15"/>
        <v/>
      </c>
      <c r="L46" s="33" t="str">
        <f ca="1">IF(B46,MIN(Parámetros!$B$5-D46,-Parámetros!$B$12*LN(1-RAND())),"")</f>
        <v/>
      </c>
      <c r="M46" s="33" t="str">
        <f t="shared" ca="1" si="16"/>
        <v/>
      </c>
      <c r="N46" s="22" t="str">
        <f t="shared" ca="1" si="8"/>
        <v>-</v>
      </c>
      <c r="O46" s="22" t="str">
        <f ca="1">IF(E46="INTERVENCIÓN",IF(N46&gt;=Parámetros!$B$7,"SÍ","NO"),"-")</f>
        <v>-</v>
      </c>
      <c r="P46" s="23" t="str">
        <f ca="1">IF(E46="INTERVENCIÓN",IF(N46&gt;=Parámetros!$B$7,CHOOSE(RANDBETWEEN(1,2),"APROBADO","NO APROBADO"),"NO APROBADA - Sin quórum"),"-")</f>
        <v>-</v>
      </c>
    </row>
    <row r="47" spans="1:16" ht="15" customHeight="1" x14ac:dyDescent="0.45">
      <c r="A47" s="22" t="str">
        <f t="shared" ca="1" si="9"/>
        <v/>
      </c>
      <c r="B47" s="22">
        <f ca="1">IF(AND(ISNUMBER(D46),D46&lt;Parámetros!$B$5,ISNUMBER(K46),K46&lt;Parámetros!$B$5,A46&lt;MIN(Parámetros!$B$4,Parámetros!$B$10)),1,0)</f>
        <v>0</v>
      </c>
      <c r="C47" s="32" t="str">
        <f ca="1">IF(B47,-Parámetros!$B$11*LN(1-RAND()),"")</f>
        <v/>
      </c>
      <c r="D47" s="32" t="str">
        <f ca="1">IF(B47,MIN(D46+C47,Parámetros!$B$5),"")</f>
        <v/>
      </c>
      <c r="E47" s="22" t="str">
        <f t="shared" ca="1" si="10"/>
        <v/>
      </c>
      <c r="F47" s="32" t="str">
        <f ca="1">IF(B47,ABS(IF(E47="INTERVENCIÓN",NORMINV(RAND(),Parámetros!$B$13,Parámetros!$B$14),0)),"")</f>
        <v/>
      </c>
      <c r="G47" s="32" t="str">
        <f t="shared" ca="1" si="11"/>
        <v/>
      </c>
      <c r="H47" s="32" t="str">
        <f t="shared" ca="1" si="12"/>
        <v/>
      </c>
      <c r="I47" s="32" t="str">
        <f t="shared" ca="1" si="13"/>
        <v/>
      </c>
      <c r="J47" s="22" t="str">
        <f t="shared" ca="1" si="14"/>
        <v/>
      </c>
      <c r="K47" s="32" t="str">
        <f t="shared" ca="1" si="15"/>
        <v/>
      </c>
      <c r="L47" s="32" t="str">
        <f ca="1">IF(B47,MIN(Parámetros!$B$5-D47,-Parámetros!$B$12*LN(1-RAND())),"")</f>
        <v/>
      </c>
      <c r="M47" s="32" t="str">
        <f t="shared" ca="1" si="16"/>
        <v/>
      </c>
      <c r="N47" s="22" t="str">
        <f t="shared" ca="1" si="8"/>
        <v>-</v>
      </c>
      <c r="O47" s="22" t="str">
        <f ca="1">IF(E47="INTERVENCIÓN",IF(N47&gt;=Parámetros!$B$7,"SÍ","NO"),"-")</f>
        <v>-</v>
      </c>
      <c r="P47" s="23" t="str">
        <f ca="1">IF(E47="INTERVENCIÓN",IF(N47&gt;=Parámetros!$B$7,CHOOSE(RANDBETWEEN(1,2),"APROBADO","NO APROBADO"),"NO APROBADA - Sin quórum"),"-")</f>
        <v>-</v>
      </c>
    </row>
    <row r="48" spans="1:16" ht="15" customHeight="1" x14ac:dyDescent="0.45">
      <c r="A48" s="23" t="str">
        <f t="shared" ca="1" si="9"/>
        <v/>
      </c>
      <c r="B48" s="23">
        <f ca="1">IF(AND(ISNUMBER(D47),D47&lt;Parámetros!$B$5,ISNUMBER(K47),K47&lt;Parámetros!$B$5,A47&lt;MIN(Parámetros!$B$4,Parámetros!$B$10)),1,0)</f>
        <v>0</v>
      </c>
      <c r="C48" s="33" t="str">
        <f ca="1">IF(B48,-Parámetros!$B$11*LN(1-RAND()),"")</f>
        <v/>
      </c>
      <c r="D48" s="33" t="str">
        <f ca="1">IF(B48,MIN(D47+C48,Parámetros!$B$5),"")</f>
        <v/>
      </c>
      <c r="E48" s="23" t="str">
        <f t="shared" ca="1" si="10"/>
        <v/>
      </c>
      <c r="F48" s="33" t="str">
        <f ca="1">IF(B48,ABS(IF(E48="INTERVENCIÓN",NORMINV(RAND(),Parámetros!$B$13,Parámetros!$B$14),0)),"")</f>
        <v/>
      </c>
      <c r="G48" s="33" t="str">
        <f t="shared" ca="1" si="11"/>
        <v/>
      </c>
      <c r="H48" s="33" t="str">
        <f t="shared" ca="1" si="12"/>
        <v/>
      </c>
      <c r="I48" s="33" t="str">
        <f t="shared" ca="1" si="13"/>
        <v/>
      </c>
      <c r="J48" s="23" t="str">
        <f t="shared" ca="1" si="14"/>
        <v/>
      </c>
      <c r="K48" s="33" t="str">
        <f t="shared" ca="1" si="15"/>
        <v/>
      </c>
      <c r="L48" s="33" t="str">
        <f ca="1">IF(B48,MIN(Parámetros!$B$5-D48,-Parámetros!$B$12*LN(1-RAND())),"")</f>
        <v/>
      </c>
      <c r="M48" s="33" t="str">
        <f t="shared" ca="1" si="16"/>
        <v/>
      </c>
      <c r="N48" s="22" t="str">
        <f t="shared" ca="1" si="8"/>
        <v>-</v>
      </c>
      <c r="O48" s="22" t="str">
        <f ca="1">IF(E48="INTERVENCIÓN",IF(N48&gt;=Parámetros!$B$7,"SÍ","NO"),"-")</f>
        <v>-</v>
      </c>
      <c r="P48" s="23" t="str">
        <f ca="1">IF(E48="INTERVENCIÓN",IF(N48&gt;=Parámetros!$B$7,CHOOSE(RANDBETWEEN(1,2),"APROBADO","NO APROBADO"),"NO APROBADA - Sin quórum"),"-")</f>
        <v>-</v>
      </c>
    </row>
    <row r="49" spans="1:16" ht="15" customHeight="1" x14ac:dyDescent="0.45">
      <c r="A49" s="22" t="str">
        <f t="shared" ca="1" si="9"/>
        <v/>
      </c>
      <c r="B49" s="22">
        <f ca="1">IF(AND(ISNUMBER(D48),D48&lt;Parámetros!$B$5,ISNUMBER(K48),K48&lt;Parámetros!$B$5,A48&lt;MIN(Parámetros!$B$4,Parámetros!$B$10)),1,0)</f>
        <v>0</v>
      </c>
      <c r="C49" s="32" t="str">
        <f ca="1">IF(B49,-Parámetros!$B$11*LN(1-RAND()),"")</f>
        <v/>
      </c>
      <c r="D49" s="32" t="str">
        <f ca="1">IF(B49,MIN(D48+C49,Parámetros!$B$5),"")</f>
        <v/>
      </c>
      <c r="E49" s="22" t="str">
        <f t="shared" ca="1" si="10"/>
        <v/>
      </c>
      <c r="F49" s="32" t="str">
        <f ca="1">IF(B49,ABS(IF(E49="INTERVENCIÓN",NORMINV(RAND(),Parámetros!$B$13,Parámetros!$B$14),0)),"")</f>
        <v/>
      </c>
      <c r="G49" s="32" t="str">
        <f t="shared" ca="1" si="11"/>
        <v/>
      </c>
      <c r="H49" s="32" t="str">
        <f t="shared" ca="1" si="12"/>
        <v/>
      </c>
      <c r="I49" s="32" t="str">
        <f t="shared" ca="1" si="13"/>
        <v/>
      </c>
      <c r="J49" s="22" t="str">
        <f t="shared" ca="1" si="14"/>
        <v/>
      </c>
      <c r="K49" s="32" t="str">
        <f t="shared" ca="1" si="15"/>
        <v/>
      </c>
      <c r="L49" s="32" t="str">
        <f ca="1">IF(B49,MIN(Parámetros!$B$5-D49,-Parámetros!$B$12*LN(1-RAND())),"")</f>
        <v/>
      </c>
      <c r="M49" s="32" t="str">
        <f t="shared" ca="1" si="16"/>
        <v/>
      </c>
      <c r="N49" s="22" t="str">
        <f t="shared" ca="1" si="8"/>
        <v>-</v>
      </c>
      <c r="O49" s="22" t="str">
        <f ca="1">IF(E49="INTERVENCIÓN",IF(N49&gt;=Parámetros!$B$7,"SÍ","NO"),"-")</f>
        <v>-</v>
      </c>
      <c r="P49" s="23" t="str">
        <f ca="1">IF(E49="INTERVENCIÓN",IF(N49&gt;=Parámetros!$B$7,CHOOSE(RANDBETWEEN(1,2),"APROBADO","NO APROBADO"),"NO APROBADA - Sin quórum"),"-")</f>
        <v>-</v>
      </c>
    </row>
    <row r="50" spans="1:16" ht="15" customHeight="1" x14ac:dyDescent="0.45">
      <c r="A50" s="23" t="str">
        <f t="shared" ca="1" si="9"/>
        <v/>
      </c>
      <c r="B50" s="23">
        <f ca="1">IF(AND(ISNUMBER(D49),D49&lt;Parámetros!$B$5,ISNUMBER(K49),K49&lt;Parámetros!$B$5,A49&lt;MIN(Parámetros!$B$4,Parámetros!$B$10)),1,0)</f>
        <v>0</v>
      </c>
      <c r="C50" s="33" t="str">
        <f ca="1">IF(B50,-Parámetros!$B$11*LN(1-RAND()),"")</f>
        <v/>
      </c>
      <c r="D50" s="33" t="str">
        <f ca="1">IF(B50,MIN(D49+C50,Parámetros!$B$5),"")</f>
        <v/>
      </c>
      <c r="E50" s="23" t="str">
        <f t="shared" ca="1" si="10"/>
        <v/>
      </c>
      <c r="F50" s="33" t="str">
        <f ca="1">IF(B50,ABS(IF(E50="INTERVENCIÓN",NORMINV(RAND(),Parámetros!$B$13,Parámetros!$B$14),0)),"")</f>
        <v/>
      </c>
      <c r="G50" s="33" t="str">
        <f t="shared" ca="1" si="11"/>
        <v/>
      </c>
      <c r="H50" s="33" t="str">
        <f t="shared" ca="1" si="12"/>
        <v/>
      </c>
      <c r="I50" s="33" t="str">
        <f t="shared" ca="1" si="13"/>
        <v/>
      </c>
      <c r="J50" s="23" t="str">
        <f t="shared" ca="1" si="14"/>
        <v/>
      </c>
      <c r="K50" s="33" t="str">
        <f t="shared" ca="1" si="15"/>
        <v/>
      </c>
      <c r="L50" s="33" t="str">
        <f ca="1">IF(B50,MIN(Parámetros!$B$5-D50,-Parámetros!$B$12*LN(1-RAND())),"")</f>
        <v/>
      </c>
      <c r="M50" s="33" t="str">
        <f t="shared" ca="1" si="16"/>
        <v/>
      </c>
      <c r="N50" s="22" t="str">
        <f t="shared" ca="1" si="8"/>
        <v>-</v>
      </c>
      <c r="O50" s="22" t="str">
        <f ca="1">IF(E50="INTERVENCIÓN",IF(N50&gt;=Parámetros!$B$7,"SÍ","NO"),"-")</f>
        <v>-</v>
      </c>
      <c r="P50" s="23" t="str">
        <f ca="1">IF(E50="INTERVENCIÓN",IF(N50&gt;=Parámetros!$B$7,CHOOSE(RANDBETWEEN(1,2),"APROBADO","NO APROBADO"),"NO APROBADA - Sin quórum"),"-")</f>
        <v>-</v>
      </c>
    </row>
    <row r="51" spans="1:16" ht="15" customHeight="1" x14ac:dyDescent="0.45">
      <c r="A51" s="22" t="str">
        <f t="shared" ca="1" si="9"/>
        <v/>
      </c>
      <c r="B51" s="22">
        <f ca="1">IF(AND(ISNUMBER(D50),D50&lt;Parámetros!$B$5,ISNUMBER(K50),K50&lt;Parámetros!$B$5,A50&lt;MIN(Parámetros!$B$4,Parámetros!$B$10)),1,0)</f>
        <v>0</v>
      </c>
      <c r="C51" s="32" t="str">
        <f ca="1">IF(B51,-Parámetros!$B$11*LN(1-RAND()),"")</f>
        <v/>
      </c>
      <c r="D51" s="32" t="str">
        <f ca="1">IF(B51,MIN(D50+C51,Parámetros!$B$5),"")</f>
        <v/>
      </c>
      <c r="E51" s="22" t="str">
        <f t="shared" ca="1" si="10"/>
        <v/>
      </c>
      <c r="F51" s="32" t="str">
        <f ca="1">IF(B51,ABS(IF(E51="INTERVENCIÓN",NORMINV(RAND(),Parámetros!$B$13,Parámetros!$B$14),0)),"")</f>
        <v/>
      </c>
      <c r="G51" s="32" t="str">
        <f t="shared" ca="1" si="11"/>
        <v/>
      </c>
      <c r="H51" s="32" t="str">
        <f t="shared" ca="1" si="12"/>
        <v/>
      </c>
      <c r="I51" s="32" t="str">
        <f t="shared" ca="1" si="13"/>
        <v/>
      </c>
      <c r="J51" s="22" t="str">
        <f t="shared" ca="1" si="14"/>
        <v/>
      </c>
      <c r="K51" s="32" t="str">
        <f t="shared" ca="1" si="15"/>
        <v/>
      </c>
      <c r="L51" s="32" t="str">
        <f ca="1">IF(B51,MIN(Parámetros!$B$5-D51,-Parámetros!$B$12*LN(1-RAND())),"")</f>
        <v/>
      </c>
      <c r="M51" s="32" t="str">
        <f t="shared" ca="1" si="16"/>
        <v/>
      </c>
      <c r="N51" s="22" t="str">
        <f t="shared" ca="1" si="8"/>
        <v>-</v>
      </c>
      <c r="O51" s="22" t="str">
        <f ca="1">IF(E51="INTERVENCIÓN",IF(N51&gt;=Parámetros!$B$7,"SÍ","NO"),"-")</f>
        <v>-</v>
      </c>
      <c r="P51" s="23" t="str">
        <f ca="1">IF(E51="INTERVENCIÓN",IF(N51&gt;=Parámetros!$B$7,CHOOSE(RANDBETWEEN(1,2),"APROBADO","NO APROBADO"),"NO APROBADA - Sin quórum"),"-")</f>
        <v>-</v>
      </c>
    </row>
    <row r="52" spans="1:16" ht="15" customHeight="1" x14ac:dyDescent="0.45">
      <c r="A52" s="23" t="str">
        <f t="shared" ca="1" si="9"/>
        <v/>
      </c>
      <c r="B52" s="23">
        <f ca="1">IF(AND(ISNUMBER(D51),D51&lt;Parámetros!$B$5,ISNUMBER(K51),K51&lt;Parámetros!$B$5,A51&lt;MIN(Parámetros!$B$4,Parámetros!$B$10)),1,0)</f>
        <v>0</v>
      </c>
      <c r="C52" s="33" t="str">
        <f ca="1">IF(B52,-Parámetros!$B$11*LN(1-RAND()),"")</f>
        <v/>
      </c>
      <c r="D52" s="33" t="str">
        <f ca="1">IF(B52,MIN(D51+C52,Parámetros!$B$5),"")</f>
        <v/>
      </c>
      <c r="E52" s="23" t="str">
        <f t="shared" ca="1" si="10"/>
        <v/>
      </c>
      <c r="F52" s="33" t="str">
        <f ca="1">IF(B52,ABS(IF(E52="INTERVENCIÓN",NORMINV(RAND(),Parámetros!$B$13,Parámetros!$B$14),0)),"")</f>
        <v/>
      </c>
      <c r="G52" s="33" t="str">
        <f t="shared" ca="1" si="11"/>
        <v/>
      </c>
      <c r="H52" s="33" t="str">
        <f t="shared" ca="1" si="12"/>
        <v/>
      </c>
      <c r="I52" s="33" t="str">
        <f t="shared" ca="1" si="13"/>
        <v/>
      </c>
      <c r="J52" s="23" t="str">
        <f t="shared" ca="1" si="14"/>
        <v/>
      </c>
      <c r="K52" s="33" t="str">
        <f t="shared" ca="1" si="15"/>
        <v/>
      </c>
      <c r="L52" s="33" t="str">
        <f ca="1">IF(B52,MIN(Parámetros!$B$5-D52,-Parámetros!$B$12*LN(1-RAND())),"")</f>
        <v/>
      </c>
      <c r="M52" s="33" t="str">
        <f t="shared" ca="1" si="16"/>
        <v/>
      </c>
      <c r="N52" s="22" t="str">
        <f t="shared" ca="1" si="8"/>
        <v>-</v>
      </c>
      <c r="O52" s="22" t="str">
        <f ca="1">IF(E52="INTERVENCIÓN",IF(N52&gt;=Parámetros!$B$7,"SÍ","NO"),"-")</f>
        <v>-</v>
      </c>
      <c r="P52" s="23" t="str">
        <f ca="1">IF(E52="INTERVENCIÓN",IF(N52&gt;=Parámetros!$B$7,CHOOSE(RANDBETWEEN(1,2),"APROBADO","NO APROBADO"),"NO APROBADA - Sin quórum"),"-")</f>
        <v>-</v>
      </c>
    </row>
    <row r="53" spans="1:16" ht="15" customHeight="1" x14ac:dyDescent="0.45">
      <c r="A53" s="22" t="str">
        <f t="shared" ca="1" si="9"/>
        <v/>
      </c>
      <c r="B53" s="22">
        <f ca="1">IF(AND(ISNUMBER(D52),D52&lt;Parámetros!$B$5,ISNUMBER(K52),K52&lt;Parámetros!$B$5,A52&lt;MIN(Parámetros!$B$4,Parámetros!$B$10)),1,0)</f>
        <v>0</v>
      </c>
      <c r="C53" s="32" t="str">
        <f ca="1">IF(B53,-Parámetros!$B$11*LN(1-RAND()),"")</f>
        <v/>
      </c>
      <c r="D53" s="32" t="str">
        <f ca="1">IF(B53,MIN(D52+C53,Parámetros!$B$5),"")</f>
        <v/>
      </c>
      <c r="E53" s="22" t="str">
        <f t="shared" ca="1" si="10"/>
        <v/>
      </c>
      <c r="F53" s="32" t="str">
        <f ca="1">IF(B53,ABS(IF(E53="INTERVENCIÓN",NORMINV(RAND(),Parámetros!$B$13,Parámetros!$B$14),0)),"")</f>
        <v/>
      </c>
      <c r="G53" s="32" t="str">
        <f t="shared" ca="1" si="11"/>
        <v/>
      </c>
      <c r="H53" s="32" t="str">
        <f t="shared" ca="1" si="12"/>
        <v/>
      </c>
      <c r="I53" s="32" t="str">
        <f t="shared" ca="1" si="13"/>
        <v/>
      </c>
      <c r="J53" s="22" t="str">
        <f t="shared" ca="1" si="14"/>
        <v/>
      </c>
      <c r="K53" s="32" t="str">
        <f t="shared" ca="1" si="15"/>
        <v/>
      </c>
      <c r="L53" s="32" t="str">
        <f ca="1">IF(B53,MIN(Parámetros!$B$5-D53,-Parámetros!$B$12*LN(1-RAND())),"")</f>
        <v/>
      </c>
      <c r="M53" s="32" t="str">
        <f t="shared" ca="1" si="16"/>
        <v/>
      </c>
      <c r="N53" s="22" t="str">
        <f t="shared" ca="1" si="8"/>
        <v>-</v>
      </c>
      <c r="O53" s="22" t="str">
        <f ca="1">IF(E53="INTERVENCIÓN",IF(N53&gt;=Parámetros!$B$7,"SÍ","NO"),"-")</f>
        <v>-</v>
      </c>
      <c r="P53" s="23" t="str">
        <f ca="1">IF(E53="INTERVENCIÓN",IF(N53&gt;=Parámetros!$B$7,CHOOSE(RANDBETWEEN(1,2),"APROBADO","NO APROBADO"),"NO APROBADA - Sin quórum"),"-")</f>
        <v>-</v>
      </c>
    </row>
    <row r="54" spans="1:16" ht="15" customHeight="1" x14ac:dyDescent="0.45">
      <c r="A54" s="23" t="str">
        <f t="shared" ca="1" si="9"/>
        <v/>
      </c>
      <c r="B54" s="23">
        <f ca="1">IF(AND(ISNUMBER(D53),D53&lt;Parámetros!$B$5,ISNUMBER(K53),K53&lt;Parámetros!$B$5,A53&lt;MIN(Parámetros!$B$4,Parámetros!$B$10)),1,0)</f>
        <v>0</v>
      </c>
      <c r="C54" s="33" t="str">
        <f ca="1">IF(B54,-Parámetros!$B$11*LN(1-RAND()),"")</f>
        <v/>
      </c>
      <c r="D54" s="33" t="str">
        <f ca="1">IF(B54,MIN(D53+C54,Parámetros!$B$5),"")</f>
        <v/>
      </c>
      <c r="E54" s="23" t="str">
        <f t="shared" ca="1" si="10"/>
        <v/>
      </c>
      <c r="F54" s="33" t="str">
        <f ca="1">IF(B54,ABS(IF(E54="INTERVENCIÓN",NORMINV(RAND(),Parámetros!$B$13,Parámetros!$B$14),0)),"")</f>
        <v/>
      </c>
      <c r="G54" s="33" t="str">
        <f t="shared" ca="1" si="11"/>
        <v/>
      </c>
      <c r="H54" s="33" t="str">
        <f t="shared" ca="1" si="12"/>
        <v/>
      </c>
      <c r="I54" s="33" t="str">
        <f t="shared" ca="1" si="13"/>
        <v/>
      </c>
      <c r="J54" s="23" t="str">
        <f t="shared" ca="1" si="14"/>
        <v/>
      </c>
      <c r="K54" s="33" t="str">
        <f t="shared" ca="1" si="15"/>
        <v/>
      </c>
      <c r="L54" s="33" t="str">
        <f ca="1">IF(B54,MIN(Parámetros!$B$5-D54,-Parámetros!$B$12*LN(1-RAND())),"")</f>
        <v/>
      </c>
      <c r="M54" s="33" t="str">
        <f t="shared" ca="1" si="16"/>
        <v/>
      </c>
      <c r="N54" s="22" t="str">
        <f t="shared" ca="1" si="8"/>
        <v>-</v>
      </c>
      <c r="O54" s="22" t="str">
        <f ca="1">IF(E54="INTERVENCIÓN",IF(N54&gt;=Parámetros!$B$7,"SÍ","NO"),"-")</f>
        <v>-</v>
      </c>
      <c r="P54" s="23" t="str">
        <f ca="1">IF(E54="INTERVENCIÓN",IF(N54&gt;=Parámetros!$B$7,CHOOSE(RANDBETWEEN(1,2),"APROBADO","NO APROBADO"),"NO APROBADA - Sin quórum"),"-")</f>
        <v>-</v>
      </c>
    </row>
    <row r="55" spans="1:16" ht="15" customHeight="1" x14ac:dyDescent="0.45">
      <c r="A55" s="22" t="str">
        <f t="shared" ca="1" si="9"/>
        <v/>
      </c>
      <c r="B55" s="22">
        <f ca="1">IF(AND(ISNUMBER(D54),D54&lt;Parámetros!$B$5,ISNUMBER(K54),K54&lt;Parámetros!$B$5,A54&lt;MIN(Parámetros!$B$4,Parámetros!$B$10)),1,0)</f>
        <v>0</v>
      </c>
      <c r="C55" s="32" t="str">
        <f ca="1">IF(B55,-Parámetros!$B$11*LN(1-RAND()),"")</f>
        <v/>
      </c>
      <c r="D55" s="32" t="str">
        <f ca="1">IF(B55,MIN(D54+C55,Parámetros!$B$5),"")</f>
        <v/>
      </c>
      <c r="E55" s="22" t="str">
        <f t="shared" ca="1" si="10"/>
        <v/>
      </c>
      <c r="F55" s="32" t="str">
        <f ca="1">IF(B55,ABS(IF(E55="INTERVENCIÓN",NORMINV(RAND(),Parámetros!$B$13,Parámetros!$B$14),0)),"")</f>
        <v/>
      </c>
      <c r="G55" s="32" t="str">
        <f t="shared" ca="1" si="11"/>
        <v/>
      </c>
      <c r="H55" s="32" t="str">
        <f t="shared" ca="1" si="12"/>
        <v/>
      </c>
      <c r="I55" s="32" t="str">
        <f t="shared" ca="1" si="13"/>
        <v/>
      </c>
      <c r="J55" s="22" t="str">
        <f t="shared" ca="1" si="14"/>
        <v/>
      </c>
      <c r="K55" s="32" t="str">
        <f t="shared" ca="1" si="15"/>
        <v/>
      </c>
      <c r="L55" s="32" t="str">
        <f ca="1">IF(B55,MIN(Parámetros!$B$5-D55,-Parámetros!$B$12*LN(1-RAND())),"")</f>
        <v/>
      </c>
      <c r="M55" s="32" t="str">
        <f t="shared" ca="1" si="16"/>
        <v/>
      </c>
      <c r="N55" s="22" t="str">
        <f t="shared" ca="1" si="8"/>
        <v>-</v>
      </c>
      <c r="O55" s="22" t="str">
        <f ca="1">IF(E55="INTERVENCIÓN",IF(N55&gt;=Parámetros!$B$7,"SÍ","NO"),"-")</f>
        <v>-</v>
      </c>
      <c r="P55" s="23" t="str">
        <f ca="1">IF(E55="INTERVENCIÓN",IF(N55&gt;=Parámetros!$B$7,CHOOSE(RANDBETWEEN(1,2),"APROBADO","NO APROBADO"),"NO APROBADA - Sin quórum"),"-")</f>
        <v>-</v>
      </c>
    </row>
    <row r="56" spans="1:16" ht="15" customHeight="1" x14ac:dyDescent="0.45">
      <c r="A56" s="23" t="str">
        <f t="shared" ca="1" si="9"/>
        <v/>
      </c>
      <c r="B56" s="23">
        <f ca="1">IF(AND(ISNUMBER(D55),D55&lt;Parámetros!$B$5,ISNUMBER(K55),K55&lt;Parámetros!$B$5,A55&lt;MIN(Parámetros!$B$4,Parámetros!$B$10)),1,0)</f>
        <v>0</v>
      </c>
      <c r="C56" s="33" t="str">
        <f ca="1">IF(B56,-Parámetros!$B$11*LN(1-RAND()),"")</f>
        <v/>
      </c>
      <c r="D56" s="33" t="str">
        <f ca="1">IF(B56,MIN(D55+C56,Parámetros!$B$5),"")</f>
        <v/>
      </c>
      <c r="E56" s="23" t="str">
        <f t="shared" ca="1" si="10"/>
        <v/>
      </c>
      <c r="F56" s="33" t="str">
        <f ca="1">IF(B56,ABS(IF(E56="INTERVENCIÓN",NORMINV(RAND(),Parámetros!$B$13,Parámetros!$B$14),0)),"")</f>
        <v/>
      </c>
      <c r="G56" s="33" t="str">
        <f t="shared" ca="1" si="11"/>
        <v/>
      </c>
      <c r="H56" s="33" t="str">
        <f t="shared" ca="1" si="12"/>
        <v/>
      </c>
      <c r="I56" s="33" t="str">
        <f t="shared" ca="1" si="13"/>
        <v/>
      </c>
      <c r="J56" s="23" t="str">
        <f t="shared" ca="1" si="14"/>
        <v/>
      </c>
      <c r="K56" s="33" t="str">
        <f t="shared" ca="1" si="15"/>
        <v/>
      </c>
      <c r="L56" s="33" t="str">
        <f ca="1">IF(B56,MIN(Parámetros!$B$5-D56,-Parámetros!$B$12*LN(1-RAND())),"")</f>
        <v/>
      </c>
      <c r="M56" s="33" t="str">
        <f t="shared" ca="1" si="16"/>
        <v/>
      </c>
      <c r="N56" s="22" t="str">
        <f t="shared" ca="1" si="8"/>
        <v>-</v>
      </c>
      <c r="O56" s="22" t="str">
        <f ca="1">IF(E56="INTERVENCIÓN",IF(N56&gt;=Parámetros!$B$7,"SÍ","NO"),"-")</f>
        <v>-</v>
      </c>
      <c r="P56" s="23" t="str">
        <f ca="1">IF(E56="INTERVENCIÓN",IF(N56&gt;=Parámetros!$B$7,CHOOSE(RANDBETWEEN(1,2),"APROBADO","NO APROBADO"),"NO APROBADA - Sin quórum"),"-")</f>
        <v>-</v>
      </c>
    </row>
    <row r="57" spans="1:16" ht="15" customHeight="1" x14ac:dyDescent="0.45">
      <c r="A57" s="22" t="str">
        <f t="shared" ca="1" si="9"/>
        <v/>
      </c>
      <c r="B57" s="22">
        <f ca="1">IF(AND(ISNUMBER(D56),D56&lt;Parámetros!$B$5,ISNUMBER(K56),K56&lt;Parámetros!$B$5,A56&lt;MIN(Parámetros!$B$4,Parámetros!$B$10)),1,0)</f>
        <v>0</v>
      </c>
      <c r="C57" s="32" t="str">
        <f ca="1">IF(B57,-Parámetros!$B$11*LN(1-RAND()),"")</f>
        <v/>
      </c>
      <c r="D57" s="32" t="str">
        <f ca="1">IF(B57,MIN(D56+C57,Parámetros!$B$5),"")</f>
        <v/>
      </c>
      <c r="E57" s="22" t="str">
        <f t="shared" ca="1" si="10"/>
        <v/>
      </c>
      <c r="F57" s="32" t="str">
        <f ca="1">IF(B57,ABS(IF(E57="INTERVENCIÓN",NORMINV(RAND(),Parámetros!$B$13,Parámetros!$B$14),0)),"")</f>
        <v/>
      </c>
      <c r="G57" s="32" t="str">
        <f t="shared" ca="1" si="11"/>
        <v/>
      </c>
      <c r="H57" s="32" t="str">
        <f t="shared" ca="1" si="12"/>
        <v/>
      </c>
      <c r="I57" s="32" t="str">
        <f t="shared" ca="1" si="13"/>
        <v/>
      </c>
      <c r="J57" s="22" t="str">
        <f t="shared" ca="1" si="14"/>
        <v/>
      </c>
      <c r="K57" s="32" t="str">
        <f t="shared" ca="1" si="15"/>
        <v/>
      </c>
      <c r="L57" s="32" t="str">
        <f ca="1">IF(B57,MIN(Parámetros!$B$5-D57,-Parámetros!$B$12*LN(1-RAND())),"")</f>
        <v/>
      </c>
      <c r="M57" s="32" t="str">
        <f t="shared" ca="1" si="16"/>
        <v/>
      </c>
      <c r="N57" s="22" t="str">
        <f t="shared" ca="1" si="8"/>
        <v>-</v>
      </c>
      <c r="O57" s="22" t="str">
        <f ca="1">IF(E57="INTERVENCIÓN",IF(N57&gt;=Parámetros!$B$7,"SÍ","NO"),"-")</f>
        <v>-</v>
      </c>
      <c r="P57" s="23" t="str">
        <f ca="1">IF(E57="INTERVENCIÓN",IF(N57&gt;=Parámetros!$B$7,CHOOSE(RANDBETWEEN(1,2),"APROBADO","NO APROBADO"),"NO APROBADA - Sin quórum"),"-")</f>
        <v>-</v>
      </c>
    </row>
    <row r="58" spans="1:16" ht="15" customHeight="1" x14ac:dyDescent="0.45">
      <c r="A58" s="23" t="str">
        <f t="shared" ca="1" si="9"/>
        <v/>
      </c>
      <c r="B58" s="23">
        <f ca="1">IF(AND(ISNUMBER(D57),D57&lt;Parámetros!$B$5,ISNUMBER(K57),K57&lt;Parámetros!$B$5,A57&lt;MIN(Parámetros!$B$4,Parámetros!$B$10)),1,0)</f>
        <v>0</v>
      </c>
      <c r="C58" s="33" t="str">
        <f ca="1">IF(B58,-Parámetros!$B$11*LN(1-RAND()),"")</f>
        <v/>
      </c>
      <c r="D58" s="33" t="str">
        <f ca="1">IF(B58,MIN(D57+C58,Parámetros!$B$5),"")</f>
        <v/>
      </c>
      <c r="E58" s="23" t="str">
        <f t="shared" ca="1" si="10"/>
        <v/>
      </c>
      <c r="F58" s="33" t="str">
        <f ca="1">IF(B58,ABS(IF(E58="INTERVENCIÓN",NORMINV(RAND(),Parámetros!$B$13,Parámetros!$B$14),0)),"")</f>
        <v/>
      </c>
      <c r="G58" s="33" t="str">
        <f t="shared" ca="1" si="11"/>
        <v/>
      </c>
      <c r="H58" s="33" t="str">
        <f t="shared" ca="1" si="12"/>
        <v/>
      </c>
      <c r="I58" s="33" t="str">
        <f t="shared" ca="1" si="13"/>
        <v/>
      </c>
      <c r="J58" s="23" t="str">
        <f t="shared" ca="1" si="14"/>
        <v/>
      </c>
      <c r="K58" s="33" t="str">
        <f t="shared" ca="1" si="15"/>
        <v/>
      </c>
      <c r="L58" s="33" t="str">
        <f ca="1">IF(B58,MIN(Parámetros!$B$5-D58,-Parámetros!$B$12*LN(1-RAND())),"")</f>
        <v/>
      </c>
      <c r="M58" s="33" t="str">
        <f t="shared" ca="1" si="16"/>
        <v/>
      </c>
      <c r="N58" s="22" t="str">
        <f t="shared" ca="1" si="8"/>
        <v>-</v>
      </c>
      <c r="O58" s="22" t="str">
        <f ca="1">IF(E58="INTERVENCIÓN",IF(N58&gt;=Parámetros!$B$7,"SÍ","NO"),"-")</f>
        <v>-</v>
      </c>
      <c r="P58" s="23" t="str">
        <f ca="1">IF(E58="INTERVENCIÓN",IF(N58&gt;=Parámetros!$B$7,CHOOSE(RANDBETWEEN(1,2),"APROBADO","NO APROBADO"),"NO APROBADA - Sin quórum"),"-")</f>
        <v>-</v>
      </c>
    </row>
    <row r="59" spans="1:16" ht="15" customHeight="1" x14ac:dyDescent="0.45">
      <c r="A59" s="22" t="str">
        <f t="shared" ca="1" si="9"/>
        <v/>
      </c>
      <c r="B59" s="22">
        <f ca="1">IF(AND(ISNUMBER(D58),D58&lt;Parámetros!$B$5,ISNUMBER(K58),K58&lt;Parámetros!$B$5,A58&lt;MIN(Parámetros!$B$4,Parámetros!$B$10)),1,0)</f>
        <v>0</v>
      </c>
      <c r="C59" s="32" t="str">
        <f ca="1">IF(B59,-Parámetros!$B$11*LN(1-RAND()),"")</f>
        <v/>
      </c>
      <c r="D59" s="32" t="str">
        <f ca="1">IF(B59,MIN(D58+C59,Parámetros!$B$5),"")</f>
        <v/>
      </c>
      <c r="E59" s="22" t="str">
        <f t="shared" ca="1" si="10"/>
        <v/>
      </c>
      <c r="F59" s="32" t="str">
        <f ca="1">IF(B59,ABS(IF(E59="INTERVENCIÓN",NORMINV(RAND(),Parámetros!$B$13,Parámetros!$B$14),0)),"")</f>
        <v/>
      </c>
      <c r="G59" s="32" t="str">
        <f t="shared" ca="1" si="11"/>
        <v/>
      </c>
      <c r="H59" s="32" t="str">
        <f t="shared" ca="1" si="12"/>
        <v/>
      </c>
      <c r="I59" s="32" t="str">
        <f t="shared" ca="1" si="13"/>
        <v/>
      </c>
      <c r="J59" s="22" t="str">
        <f t="shared" ca="1" si="14"/>
        <v/>
      </c>
      <c r="K59" s="32" t="str">
        <f t="shared" ca="1" si="15"/>
        <v/>
      </c>
      <c r="L59" s="32" t="str">
        <f ca="1">IF(B59,MIN(Parámetros!$B$5-D59,-Parámetros!$B$12*LN(1-RAND())),"")</f>
        <v/>
      </c>
      <c r="M59" s="32" t="str">
        <f t="shared" ca="1" si="16"/>
        <v/>
      </c>
      <c r="N59" s="22" t="str">
        <f t="shared" ca="1" si="8"/>
        <v>-</v>
      </c>
      <c r="O59" s="22" t="str">
        <f ca="1">IF(E59="INTERVENCIÓN",IF(N59&gt;=Parámetros!$B$7,"SÍ","NO"),"-")</f>
        <v>-</v>
      </c>
      <c r="P59" s="23" t="str">
        <f ca="1">IF(E59="INTERVENCIÓN",IF(N59&gt;=Parámetros!$B$7,CHOOSE(RANDBETWEEN(1,2),"APROBADO","NO APROBADO"),"NO APROBADA - Sin quórum"),"-")</f>
        <v>-</v>
      </c>
    </row>
    <row r="60" spans="1:16" ht="15" customHeight="1" x14ac:dyDescent="0.45">
      <c r="A60" s="23" t="str">
        <f t="shared" ca="1" si="9"/>
        <v/>
      </c>
      <c r="B60" s="23">
        <f ca="1">IF(AND(ISNUMBER(D59),D59&lt;Parámetros!$B$5,ISNUMBER(K59),K59&lt;Parámetros!$B$5,A59&lt;MIN(Parámetros!$B$4,Parámetros!$B$10)),1,0)</f>
        <v>0</v>
      </c>
      <c r="C60" s="33" t="str">
        <f ca="1">IF(B60,-Parámetros!$B$11*LN(1-RAND()),"")</f>
        <v/>
      </c>
      <c r="D60" s="33" t="str">
        <f ca="1">IF(B60,MIN(D59+C60,Parámetros!$B$5),"")</f>
        <v/>
      </c>
      <c r="E60" s="23" t="str">
        <f t="shared" ca="1" si="10"/>
        <v/>
      </c>
      <c r="F60" s="33" t="str">
        <f ca="1">IF(B60,ABS(IF(E60="INTERVENCIÓN",NORMINV(RAND(),Parámetros!$B$13,Parámetros!$B$14),0)),"")</f>
        <v/>
      </c>
      <c r="G60" s="33" t="str">
        <f t="shared" ca="1" si="11"/>
        <v/>
      </c>
      <c r="H60" s="33" t="str">
        <f t="shared" ca="1" si="12"/>
        <v/>
      </c>
      <c r="I60" s="33" t="str">
        <f t="shared" ca="1" si="13"/>
        <v/>
      </c>
      <c r="J60" s="23" t="str">
        <f t="shared" ca="1" si="14"/>
        <v/>
      </c>
      <c r="K60" s="33" t="str">
        <f t="shared" ca="1" si="15"/>
        <v/>
      </c>
      <c r="L60" s="33" t="str">
        <f ca="1">IF(B60,MIN(Parámetros!$B$5-D60,-Parámetros!$B$12*LN(1-RAND())),"")</f>
        <v/>
      </c>
      <c r="M60" s="33" t="str">
        <f t="shared" ca="1" si="16"/>
        <v/>
      </c>
      <c r="N60" s="22" t="str">
        <f t="shared" ca="1" si="8"/>
        <v>-</v>
      </c>
      <c r="O60" s="22" t="str">
        <f ca="1">IF(E60="INTERVENCIÓN",IF(N60&gt;=Parámetros!$B$7,"SÍ","NO"),"-")</f>
        <v>-</v>
      </c>
      <c r="P60" s="23" t="str">
        <f ca="1">IF(E60="INTERVENCIÓN",IF(N60&gt;=Parámetros!$B$7,CHOOSE(RANDBETWEEN(1,2),"APROBADO","NO APROBADO"),"NO APROBADA - Sin quórum"),"-")</f>
        <v>-</v>
      </c>
    </row>
    <row r="61" spans="1:16" ht="15" customHeight="1" x14ac:dyDescent="0.45">
      <c r="A61" s="22" t="str">
        <f t="shared" ca="1" si="9"/>
        <v/>
      </c>
      <c r="B61" s="22">
        <f ca="1">IF(AND(ISNUMBER(D60),D60&lt;Parámetros!$B$5,ISNUMBER(K60),K60&lt;Parámetros!$B$5,A60&lt;MIN(Parámetros!$B$4,Parámetros!$B$10)),1,0)</f>
        <v>0</v>
      </c>
      <c r="C61" s="32" t="str">
        <f ca="1">IF(B61,-Parámetros!$B$11*LN(1-RAND()),"")</f>
        <v/>
      </c>
      <c r="D61" s="32" t="str">
        <f ca="1">IF(B61,MIN(D60+C61,Parámetros!$B$5),"")</f>
        <v/>
      </c>
      <c r="E61" s="22" t="str">
        <f t="shared" ca="1" si="10"/>
        <v/>
      </c>
      <c r="F61" s="32" t="str">
        <f ca="1">IF(B61,ABS(IF(E61="INTERVENCIÓN",NORMINV(RAND(),Parámetros!$B$13,Parámetros!$B$14),0)),"")</f>
        <v/>
      </c>
      <c r="G61" s="32" t="str">
        <f t="shared" ca="1" si="11"/>
        <v/>
      </c>
      <c r="H61" s="32" t="str">
        <f t="shared" ca="1" si="12"/>
        <v/>
      </c>
      <c r="I61" s="32" t="str">
        <f t="shared" ca="1" si="13"/>
        <v/>
      </c>
      <c r="J61" s="22" t="str">
        <f t="shared" ca="1" si="14"/>
        <v/>
      </c>
      <c r="K61" s="32" t="str">
        <f t="shared" ca="1" si="15"/>
        <v/>
      </c>
      <c r="L61" s="32" t="str">
        <f ca="1">IF(B61,MIN(Parámetros!$B$5-D61,-Parámetros!$B$12*LN(1-RAND())),"")</f>
        <v/>
      </c>
      <c r="M61" s="32" t="str">
        <f t="shared" ca="1" si="16"/>
        <v/>
      </c>
      <c r="N61" s="22" t="str">
        <f t="shared" ca="1" si="8"/>
        <v>-</v>
      </c>
      <c r="O61" s="22" t="str">
        <f ca="1">IF(E61="INTERVENCIÓN",IF(N61&gt;=Parámetros!$B$7,"SÍ","NO"),"-")</f>
        <v>-</v>
      </c>
      <c r="P61" s="23" t="str">
        <f ca="1">IF(E61="INTERVENCIÓN",IF(N61&gt;=Parámetros!$B$7,CHOOSE(RANDBETWEEN(1,2),"APROBADO","NO APROBADO"),"NO APROBADA - Sin quórum"),"-")</f>
        <v>-</v>
      </c>
    </row>
    <row r="62" spans="1:16" ht="15" customHeight="1" x14ac:dyDescent="0.45">
      <c r="A62" s="23" t="str">
        <f t="shared" ca="1" si="9"/>
        <v/>
      </c>
      <c r="B62" s="23">
        <f ca="1">IF(AND(ISNUMBER(D61),D61&lt;Parámetros!$B$5,ISNUMBER(K61),K61&lt;Parámetros!$B$5,A61&lt;MIN(Parámetros!$B$4,Parámetros!$B$10)),1,0)</f>
        <v>0</v>
      </c>
      <c r="C62" s="33" t="str">
        <f ca="1">IF(B62,-Parámetros!$B$11*LN(1-RAND()),"")</f>
        <v/>
      </c>
      <c r="D62" s="33" t="str">
        <f ca="1">IF(B62,MIN(D61+C62,Parámetros!$B$5),"")</f>
        <v/>
      </c>
      <c r="E62" s="23" t="str">
        <f t="shared" ca="1" si="10"/>
        <v/>
      </c>
      <c r="F62" s="33" t="str">
        <f ca="1">IF(B62,ABS(IF(E62="INTERVENCIÓN",NORMINV(RAND(),Parámetros!$B$13,Parámetros!$B$14),0)),"")</f>
        <v/>
      </c>
      <c r="G62" s="33" t="str">
        <f t="shared" ca="1" si="11"/>
        <v/>
      </c>
      <c r="H62" s="33" t="str">
        <f t="shared" ca="1" si="12"/>
        <v/>
      </c>
      <c r="I62" s="33" t="str">
        <f t="shared" ca="1" si="13"/>
        <v/>
      </c>
      <c r="J62" s="23" t="str">
        <f t="shared" ca="1" si="14"/>
        <v/>
      </c>
      <c r="K62" s="33" t="str">
        <f t="shared" ca="1" si="15"/>
        <v/>
      </c>
      <c r="L62" s="33" t="str">
        <f ca="1">IF(B62,MIN(Parámetros!$B$5-D62,-Parámetros!$B$12*LN(1-RAND())),"")</f>
        <v/>
      </c>
      <c r="M62" s="33" t="str">
        <f t="shared" ca="1" si="16"/>
        <v/>
      </c>
      <c r="N62" s="22" t="str">
        <f t="shared" ca="1" si="8"/>
        <v>-</v>
      </c>
      <c r="O62" s="22" t="str">
        <f ca="1">IF(E62="INTERVENCIÓN",IF(N62&gt;=Parámetros!$B$7,"SÍ","NO"),"-")</f>
        <v>-</v>
      </c>
      <c r="P62" s="23" t="str">
        <f ca="1">IF(E62="INTERVENCIÓN",IF(N62&gt;=Parámetros!$B$7,CHOOSE(RANDBETWEEN(1,2),"APROBADO","NO APROBADO"),"NO APROBADA - Sin quórum"),"-")</f>
        <v>-</v>
      </c>
    </row>
    <row r="63" spans="1:16" ht="15" customHeight="1" x14ac:dyDescent="0.45">
      <c r="A63" s="22" t="str">
        <f t="shared" ca="1" si="9"/>
        <v/>
      </c>
      <c r="B63" s="22">
        <f ca="1">IF(AND(ISNUMBER(D62),D62&lt;Parámetros!$B$5,ISNUMBER(K62),K62&lt;Parámetros!$B$5,A62&lt;MIN(Parámetros!$B$4,Parámetros!$B$10)),1,0)</f>
        <v>0</v>
      </c>
      <c r="C63" s="32" t="str">
        <f ca="1">IF(B63,-Parámetros!$B$11*LN(1-RAND()),"")</f>
        <v/>
      </c>
      <c r="D63" s="32" t="str">
        <f ca="1">IF(B63,MIN(D62+C63,Parámetros!$B$5),"")</f>
        <v/>
      </c>
      <c r="E63" s="22" t="str">
        <f t="shared" ca="1" si="10"/>
        <v/>
      </c>
      <c r="F63" s="32" t="str">
        <f ca="1">IF(B63,ABS(IF(E63="INTERVENCIÓN",NORMINV(RAND(),Parámetros!$B$13,Parámetros!$B$14),0)),"")</f>
        <v/>
      </c>
      <c r="G63" s="32" t="str">
        <f t="shared" ca="1" si="11"/>
        <v/>
      </c>
      <c r="H63" s="32" t="str">
        <f t="shared" ca="1" si="12"/>
        <v/>
      </c>
      <c r="I63" s="32" t="str">
        <f t="shared" ca="1" si="13"/>
        <v/>
      </c>
      <c r="J63" s="22" t="str">
        <f t="shared" ca="1" si="14"/>
        <v/>
      </c>
      <c r="K63" s="32" t="str">
        <f t="shared" ca="1" si="15"/>
        <v/>
      </c>
      <c r="L63" s="32" t="str">
        <f ca="1">IF(B63,MIN(Parámetros!$B$5-D63,-Parámetros!$B$12*LN(1-RAND())),"")</f>
        <v/>
      </c>
      <c r="M63" s="32" t="str">
        <f t="shared" ca="1" si="16"/>
        <v/>
      </c>
      <c r="N63" s="22" t="str">
        <f t="shared" ca="1" si="8"/>
        <v>-</v>
      </c>
      <c r="O63" s="22" t="str">
        <f ca="1">IF(E63="INTERVENCIÓN",IF(N63&gt;=Parámetros!$B$7,"SÍ","NO"),"-")</f>
        <v>-</v>
      </c>
      <c r="P63" s="23" t="str">
        <f ca="1">IF(E63="INTERVENCIÓN",IF(N63&gt;=Parámetros!$B$7,CHOOSE(RANDBETWEEN(1,2),"APROBADO","NO APROBADO"),"NO APROBADA - Sin quórum"),"-")</f>
        <v>-</v>
      </c>
    </row>
    <row r="64" spans="1:16" ht="15" customHeight="1" x14ac:dyDescent="0.45">
      <c r="A64" s="23" t="str">
        <f t="shared" ca="1" si="9"/>
        <v/>
      </c>
      <c r="B64" s="23">
        <f ca="1">IF(AND(ISNUMBER(D63),D63&lt;Parámetros!$B$5,ISNUMBER(K63),K63&lt;Parámetros!$B$5,A63&lt;MIN(Parámetros!$B$4,Parámetros!$B$10)),1,0)</f>
        <v>0</v>
      </c>
      <c r="C64" s="33" t="str">
        <f ca="1">IF(B64,-Parámetros!$B$11*LN(1-RAND()),"")</f>
        <v/>
      </c>
      <c r="D64" s="33" t="str">
        <f ca="1">IF(B64,MIN(D63+C64,Parámetros!$B$5),"")</f>
        <v/>
      </c>
      <c r="E64" s="23" t="str">
        <f t="shared" ca="1" si="10"/>
        <v/>
      </c>
      <c r="F64" s="33" t="str">
        <f ca="1">IF(B64,ABS(IF(E64="INTERVENCIÓN",NORMINV(RAND(),Parámetros!$B$13,Parámetros!$B$14),0)),"")</f>
        <v/>
      </c>
      <c r="G64" s="33" t="str">
        <f t="shared" ca="1" si="11"/>
        <v/>
      </c>
      <c r="H64" s="33" t="str">
        <f t="shared" ca="1" si="12"/>
        <v/>
      </c>
      <c r="I64" s="33" t="str">
        <f t="shared" ca="1" si="13"/>
        <v/>
      </c>
      <c r="J64" s="23" t="str">
        <f t="shared" ca="1" si="14"/>
        <v/>
      </c>
      <c r="K64" s="33" t="str">
        <f t="shared" ca="1" si="15"/>
        <v/>
      </c>
      <c r="L64" s="33" t="str">
        <f ca="1">IF(B64,MIN(Parámetros!$B$5-D64,-Parámetros!$B$12*LN(1-RAND())),"")</f>
        <v/>
      </c>
      <c r="M64" s="33" t="str">
        <f t="shared" ca="1" si="16"/>
        <v/>
      </c>
      <c r="N64" s="22" t="str">
        <f t="shared" ca="1" si="8"/>
        <v>-</v>
      </c>
      <c r="O64" s="22" t="str">
        <f ca="1">IF(E64="INTERVENCIÓN",IF(N64&gt;=Parámetros!$B$7,"SÍ","NO"),"-")</f>
        <v>-</v>
      </c>
      <c r="P64" s="23" t="str">
        <f ca="1">IF(E64="INTERVENCIÓN",IF(N64&gt;=Parámetros!$B$7,CHOOSE(RANDBETWEEN(1,2),"APROBADO","NO APROBADO"),"NO APROBADA - Sin quórum"),"-")</f>
        <v>-</v>
      </c>
    </row>
    <row r="65" spans="1:16" ht="15" customHeight="1" x14ac:dyDescent="0.45">
      <c r="A65" s="22" t="str">
        <f t="shared" ca="1" si="9"/>
        <v/>
      </c>
      <c r="B65" s="22">
        <f ca="1">IF(AND(ISNUMBER(D64),D64&lt;Parámetros!$B$5,ISNUMBER(K64),K64&lt;Parámetros!$B$5,A64&lt;MIN(Parámetros!$B$4,Parámetros!$B$10)),1,0)</f>
        <v>0</v>
      </c>
      <c r="C65" s="32" t="str">
        <f ca="1">IF(B65,-Parámetros!$B$11*LN(1-RAND()),"")</f>
        <v/>
      </c>
      <c r="D65" s="32" t="str">
        <f ca="1">IF(B65,MIN(D64+C65,Parámetros!$B$5),"")</f>
        <v/>
      </c>
      <c r="E65" s="22" t="str">
        <f t="shared" ca="1" si="10"/>
        <v/>
      </c>
      <c r="F65" s="32" t="str">
        <f ca="1">IF(B65,ABS(IF(E65="INTERVENCIÓN",NORMINV(RAND(),Parámetros!$B$13,Parámetros!$B$14),0)),"")</f>
        <v/>
      </c>
      <c r="G65" s="32" t="str">
        <f t="shared" ca="1" si="11"/>
        <v/>
      </c>
      <c r="H65" s="32" t="str">
        <f t="shared" ca="1" si="12"/>
        <v/>
      </c>
      <c r="I65" s="32" t="str">
        <f t="shared" ca="1" si="13"/>
        <v/>
      </c>
      <c r="J65" s="22" t="str">
        <f t="shared" ca="1" si="14"/>
        <v/>
      </c>
      <c r="K65" s="32" t="str">
        <f t="shared" ca="1" si="15"/>
        <v/>
      </c>
      <c r="L65" s="32" t="str">
        <f ca="1">IF(B65,MIN(Parámetros!$B$5-D65,-Parámetros!$B$12*LN(1-RAND())),"")</f>
        <v/>
      </c>
      <c r="M65" s="32" t="str">
        <f t="shared" ca="1" si="16"/>
        <v/>
      </c>
      <c r="N65" s="22" t="str">
        <f t="shared" ca="1" si="8"/>
        <v>-</v>
      </c>
      <c r="O65" s="22" t="str">
        <f ca="1">IF(E65="INTERVENCIÓN",IF(N65&gt;=Parámetros!$B$7,"SÍ","NO"),"-")</f>
        <v>-</v>
      </c>
      <c r="P65" s="23" t="str">
        <f ca="1">IF(E65="INTERVENCIÓN",IF(N65&gt;=Parámetros!$B$7,CHOOSE(RANDBETWEEN(1,2),"APROBADO","NO APROBADO"),"NO APROBADA - Sin quórum"),"-")</f>
        <v>-</v>
      </c>
    </row>
    <row r="66" spans="1:16" ht="15" customHeight="1" x14ac:dyDescent="0.45">
      <c r="A66" s="23" t="str">
        <f t="shared" ca="1" si="9"/>
        <v/>
      </c>
      <c r="B66" s="23">
        <f ca="1">IF(AND(ISNUMBER(D65),D65&lt;Parámetros!$B$5,ISNUMBER(K65),K65&lt;Parámetros!$B$5,A65&lt;MIN(Parámetros!$B$4,Parámetros!$B$10)),1,0)</f>
        <v>0</v>
      </c>
      <c r="C66" s="33" t="str">
        <f ca="1">IF(B66,-Parámetros!$B$11*LN(1-RAND()),"")</f>
        <v/>
      </c>
      <c r="D66" s="33" t="str">
        <f ca="1">IF(B66,MIN(D65+C66,Parámetros!$B$5),"")</f>
        <v/>
      </c>
      <c r="E66" s="23" t="str">
        <f t="shared" ca="1" si="10"/>
        <v/>
      </c>
      <c r="F66" s="33" t="str">
        <f ca="1">IF(B66,ABS(IF(E66="INTERVENCIÓN",NORMINV(RAND(),Parámetros!$B$13,Parámetros!$B$14),0)),"")</f>
        <v/>
      </c>
      <c r="G66" s="33" t="str">
        <f t="shared" ca="1" si="11"/>
        <v/>
      </c>
      <c r="H66" s="33" t="str">
        <f t="shared" ca="1" si="12"/>
        <v/>
      </c>
      <c r="I66" s="33" t="str">
        <f t="shared" ca="1" si="13"/>
        <v/>
      </c>
      <c r="J66" s="23" t="str">
        <f t="shared" ca="1" si="14"/>
        <v/>
      </c>
      <c r="K66" s="33" t="str">
        <f t="shared" ca="1" si="15"/>
        <v/>
      </c>
      <c r="L66" s="33" t="str">
        <f ca="1">IF(B66,MIN(Parámetros!$B$5-D66,-Parámetros!$B$12*LN(1-RAND())),"")</f>
        <v/>
      </c>
      <c r="M66" s="33" t="str">
        <f t="shared" ca="1" si="16"/>
        <v/>
      </c>
      <c r="N66" s="22" t="str">
        <f t="shared" ca="1" si="8"/>
        <v>-</v>
      </c>
      <c r="O66" s="22" t="str">
        <f ca="1">IF(E66="INTERVENCIÓN",IF(N66&gt;=Parámetros!$B$7,"SÍ","NO"),"-")</f>
        <v>-</v>
      </c>
      <c r="P66" s="23" t="str">
        <f ca="1">IF(E66="INTERVENCIÓN",IF(N66&gt;=Parámetros!$B$7,CHOOSE(RANDBETWEEN(1,2),"APROBADO","NO APROBADO"),"NO APROBADA - Sin quórum"),"-")</f>
        <v>-</v>
      </c>
    </row>
    <row r="67" spans="1:16" ht="15" customHeight="1" x14ac:dyDescent="0.45">
      <c r="A67" s="22" t="str">
        <f t="shared" ca="1" si="9"/>
        <v/>
      </c>
      <c r="B67" s="22">
        <f ca="1">IF(AND(ISNUMBER(D66),D66&lt;Parámetros!$B$5,ISNUMBER(K66),K66&lt;Parámetros!$B$5,A66&lt;MIN(Parámetros!$B$4,Parámetros!$B$10)),1,0)</f>
        <v>0</v>
      </c>
      <c r="C67" s="32" t="str">
        <f ca="1">IF(B67,-Parámetros!$B$11*LN(1-RAND()),"")</f>
        <v/>
      </c>
      <c r="D67" s="32" t="str">
        <f ca="1">IF(B67,MIN(D66+C67,Parámetros!$B$5),"")</f>
        <v/>
      </c>
      <c r="E67" s="22" t="str">
        <f t="shared" ca="1" si="10"/>
        <v/>
      </c>
      <c r="F67" s="32" t="str">
        <f ca="1">IF(B67,ABS(IF(E67="INTERVENCIÓN",NORMINV(RAND(),Parámetros!$B$13,Parámetros!$B$14),0)),"")</f>
        <v/>
      </c>
      <c r="G67" s="32" t="str">
        <f t="shared" ca="1" si="11"/>
        <v/>
      </c>
      <c r="H67" s="32" t="str">
        <f t="shared" ca="1" si="12"/>
        <v/>
      </c>
      <c r="I67" s="32" t="str">
        <f t="shared" ca="1" si="13"/>
        <v/>
      </c>
      <c r="J67" s="22" t="str">
        <f t="shared" ca="1" si="14"/>
        <v/>
      </c>
      <c r="K67" s="32" t="str">
        <f t="shared" ca="1" si="15"/>
        <v/>
      </c>
      <c r="L67" s="32" t="str">
        <f ca="1">IF(B67,MIN(Parámetros!$B$5-D67,-Parámetros!$B$12*LN(1-RAND())),"")</f>
        <v/>
      </c>
      <c r="M67" s="32" t="str">
        <f t="shared" ca="1" si="16"/>
        <v/>
      </c>
      <c r="N67" s="22" t="str">
        <f t="shared" ca="1" si="8"/>
        <v>-</v>
      </c>
      <c r="O67" s="22" t="str">
        <f ca="1">IF(E67="INTERVENCIÓN",IF(N67&gt;=Parámetros!$B$7,"SÍ","NO"),"-")</f>
        <v>-</v>
      </c>
      <c r="P67" s="23" t="str">
        <f ca="1">IF(E67="INTERVENCIÓN",IF(N67&gt;=Parámetros!$B$7,CHOOSE(RANDBETWEEN(1,2),"APROBADO","NO APROBADO"),"NO APROBADA - Sin quórum"),"-")</f>
        <v>-</v>
      </c>
    </row>
    <row r="68" spans="1:16" ht="15" customHeight="1" x14ac:dyDescent="0.45">
      <c r="A68" s="23" t="str">
        <f t="shared" ref="A68:A99" ca="1" si="17">IF(B68,A67+1,"")</f>
        <v/>
      </c>
      <c r="B68" s="23">
        <f ca="1">IF(AND(ISNUMBER(D67),D67&lt;Parámetros!$B$5,ISNUMBER(K67),K67&lt;Parámetros!$B$5,A67&lt;MIN(Parámetros!$B$4,Parámetros!$B$10)),1,0)</f>
        <v>0</v>
      </c>
      <c r="C68" s="33" t="str">
        <f ca="1">IF(B68,-Parámetros!$B$11*LN(1-RAND()),"")</f>
        <v/>
      </c>
      <c r="D68" s="33" t="str">
        <f ca="1">IF(B68,MIN(D67+C68,Parámetros!$B$5),"")</f>
        <v/>
      </c>
      <c r="E68" s="23" t="str">
        <f t="shared" ref="E68:E102" ca="1" si="18">IF(B68,CHOOSE(RANDBETWEEN(1,2),"INTERVENCIÓN","VOTACIÓN"),"")</f>
        <v/>
      </c>
      <c r="F68" s="33" t="str">
        <f ca="1">IF(B68,ABS(IF(E68="INTERVENCIÓN",NORMINV(RAND(),Parámetros!$B$13,Parámetros!$B$14),0)),"")</f>
        <v/>
      </c>
      <c r="G68" s="33" t="str">
        <f t="shared" ref="G68:G102" ca="1" si="19">IF(B68,IF(E68="INTERVENCIÓN",K67,"Sin intervención"),"")</f>
        <v/>
      </c>
      <c r="H68" s="33" t="str">
        <f t="shared" ref="H68:H99" ca="1" si="20">IF(B68,IF(G68="Sin intervención","Sin intervención",F68+G68),"")</f>
        <v/>
      </c>
      <c r="I68" s="33" t="str">
        <f t="shared" ref="I68:I99" ca="1" si="21">IF(B68,IF(E68="VOTACIÓN",I67,H68),"")</f>
        <v/>
      </c>
      <c r="J68" s="23" t="str">
        <f t="shared" ref="J68:J102" ca="1" si="22">IF(B68,IF(E68="INTERVENCIÓN",RANDBETWEEN(2,5),0),"")</f>
        <v/>
      </c>
      <c r="K68" s="33" t="str">
        <f t="shared" ref="K68:K99" ca="1" si="23">IF(B68,IF(E68="VOTACIÓN",K67,I68+J68),"")</f>
        <v/>
      </c>
      <c r="L68" s="33" t="str">
        <f ca="1">IF(B68,MIN(Parámetros!$B$5-D68,-Parámetros!$B$12*LN(1-RAND())),"")</f>
        <v/>
      </c>
      <c r="M68" s="33" t="str">
        <f t="shared" ref="M68:M99" ca="1" si="24">IF(B68,D68+L68,"")</f>
        <v/>
      </c>
      <c r="N68" s="22" t="str">
        <f t="shared" ref="N68:N131" ca="1" si="25">IF(E68="INTERVENCIÓN",COUNTIFS($D$3:$D$102,"&lt;="&amp;D68,$M$3:$M$102,"&gt;="&amp;D68),"-")</f>
        <v>-</v>
      </c>
      <c r="O68" s="22" t="str">
        <f ca="1">IF(E68="INTERVENCIÓN",IF(N68&gt;=Parámetros!$B$7,"SÍ","NO"),"-")</f>
        <v>-</v>
      </c>
      <c r="P68" s="23" t="str">
        <f ca="1">IF(E68="INTERVENCIÓN",IF(N68&gt;=Parámetros!$B$7,CHOOSE(RANDBETWEEN(1,2),"APROBADO","NO APROBADO"),"NO APROBADA - Sin quórum"),"-")</f>
        <v>-</v>
      </c>
    </row>
    <row r="69" spans="1:16" ht="15" customHeight="1" x14ac:dyDescent="0.45">
      <c r="A69" s="22" t="str">
        <f t="shared" ca="1" si="17"/>
        <v/>
      </c>
      <c r="B69" s="22">
        <f ca="1">IF(AND(ISNUMBER(D68),D68&lt;Parámetros!$B$5,ISNUMBER(K68),K68&lt;Parámetros!$B$5,A68&lt;MIN(Parámetros!$B$4,Parámetros!$B$10)),1,0)</f>
        <v>0</v>
      </c>
      <c r="C69" s="32" t="str">
        <f ca="1">IF(B69,-Parámetros!$B$11*LN(1-RAND()),"")</f>
        <v/>
      </c>
      <c r="D69" s="32" t="str">
        <f ca="1">IF(B69,MIN(D68+C69,Parámetros!$B$5),"")</f>
        <v/>
      </c>
      <c r="E69" s="22" t="str">
        <f t="shared" ca="1" si="18"/>
        <v/>
      </c>
      <c r="F69" s="32" t="str">
        <f ca="1">IF(B69,ABS(IF(E69="INTERVENCIÓN",NORMINV(RAND(),Parámetros!$B$13,Parámetros!$B$14),0)),"")</f>
        <v/>
      </c>
      <c r="G69" s="32" t="str">
        <f t="shared" ca="1" si="19"/>
        <v/>
      </c>
      <c r="H69" s="32" t="str">
        <f t="shared" ca="1" si="20"/>
        <v/>
      </c>
      <c r="I69" s="32" t="str">
        <f t="shared" ca="1" si="21"/>
        <v/>
      </c>
      <c r="J69" s="22" t="str">
        <f t="shared" ca="1" si="22"/>
        <v/>
      </c>
      <c r="K69" s="32" t="str">
        <f t="shared" ca="1" si="23"/>
        <v/>
      </c>
      <c r="L69" s="32" t="str">
        <f ca="1">IF(B69,MIN(Parámetros!$B$5-D69,-Parámetros!$B$12*LN(1-RAND())),"")</f>
        <v/>
      </c>
      <c r="M69" s="32" t="str">
        <f t="shared" ca="1" si="24"/>
        <v/>
      </c>
      <c r="N69" s="22" t="str">
        <f t="shared" ca="1" si="25"/>
        <v>-</v>
      </c>
      <c r="O69" s="22" t="str">
        <f ca="1">IF(E69="INTERVENCIÓN",IF(N69&gt;=Parámetros!$B$7,"SÍ","NO"),"-")</f>
        <v>-</v>
      </c>
      <c r="P69" s="23" t="str">
        <f ca="1">IF(E69="INTERVENCIÓN",IF(N69&gt;=Parámetros!$B$7,CHOOSE(RANDBETWEEN(1,2),"APROBADO","NO APROBADO"),"NO APROBADA - Sin quórum"),"-")</f>
        <v>-</v>
      </c>
    </row>
    <row r="70" spans="1:16" ht="15" customHeight="1" x14ac:dyDescent="0.45">
      <c r="A70" s="23" t="str">
        <f t="shared" ca="1" si="17"/>
        <v/>
      </c>
      <c r="B70" s="23">
        <f ca="1">IF(AND(ISNUMBER(D69),D69&lt;Parámetros!$B$5,ISNUMBER(K69),K69&lt;Parámetros!$B$5,A69&lt;MIN(Parámetros!$B$4,Parámetros!$B$10)),1,0)</f>
        <v>0</v>
      </c>
      <c r="C70" s="33" t="str">
        <f ca="1">IF(B70,-Parámetros!$B$11*LN(1-RAND()),"")</f>
        <v/>
      </c>
      <c r="D70" s="33" t="str">
        <f ca="1">IF(B70,MIN(D69+C70,Parámetros!$B$5),"")</f>
        <v/>
      </c>
      <c r="E70" s="23" t="str">
        <f t="shared" ca="1" si="18"/>
        <v/>
      </c>
      <c r="F70" s="33" t="str">
        <f ca="1">IF(B70,ABS(IF(E70="INTERVENCIÓN",NORMINV(RAND(),Parámetros!$B$13,Parámetros!$B$14),0)),"")</f>
        <v/>
      </c>
      <c r="G70" s="33" t="str">
        <f t="shared" ca="1" si="19"/>
        <v/>
      </c>
      <c r="H70" s="33" t="str">
        <f t="shared" ca="1" si="20"/>
        <v/>
      </c>
      <c r="I70" s="33" t="str">
        <f t="shared" ca="1" si="21"/>
        <v/>
      </c>
      <c r="J70" s="23" t="str">
        <f t="shared" ca="1" si="22"/>
        <v/>
      </c>
      <c r="K70" s="33" t="str">
        <f t="shared" ca="1" si="23"/>
        <v/>
      </c>
      <c r="L70" s="33" t="str">
        <f ca="1">IF(B70,MIN(Parámetros!$B$5-D70,-Parámetros!$B$12*LN(1-RAND())),"")</f>
        <v/>
      </c>
      <c r="M70" s="33" t="str">
        <f t="shared" ca="1" si="24"/>
        <v/>
      </c>
      <c r="N70" s="22" t="str">
        <f t="shared" ca="1" si="25"/>
        <v>-</v>
      </c>
      <c r="O70" s="22" t="str">
        <f ca="1">IF(E70="INTERVENCIÓN",IF(N70&gt;=Parámetros!$B$7,"SÍ","NO"),"-")</f>
        <v>-</v>
      </c>
      <c r="P70" s="23" t="str">
        <f ca="1">IF(E70="INTERVENCIÓN",IF(N70&gt;=Parámetros!$B$7,CHOOSE(RANDBETWEEN(1,2),"APROBADO","NO APROBADO"),"NO APROBADA - Sin quórum"),"-")</f>
        <v>-</v>
      </c>
    </row>
    <row r="71" spans="1:16" ht="15" customHeight="1" x14ac:dyDescent="0.45">
      <c r="A71" s="22" t="str">
        <f t="shared" ca="1" si="17"/>
        <v/>
      </c>
      <c r="B71" s="22">
        <f ca="1">IF(AND(ISNUMBER(D70),D70&lt;Parámetros!$B$5,ISNUMBER(K70),K70&lt;Parámetros!$B$5,A70&lt;MIN(Parámetros!$B$4,Parámetros!$B$10)),1,0)</f>
        <v>0</v>
      </c>
      <c r="C71" s="32" t="str">
        <f ca="1">IF(B71,-Parámetros!$B$11*LN(1-RAND()),"")</f>
        <v/>
      </c>
      <c r="D71" s="32" t="str">
        <f ca="1">IF(B71,MIN(D70+C71,Parámetros!$B$5),"")</f>
        <v/>
      </c>
      <c r="E71" s="22" t="str">
        <f t="shared" ca="1" si="18"/>
        <v/>
      </c>
      <c r="F71" s="32" t="str">
        <f ca="1">IF(B71,ABS(IF(E71="INTERVENCIÓN",NORMINV(RAND(),Parámetros!$B$13,Parámetros!$B$14),0)),"")</f>
        <v/>
      </c>
      <c r="G71" s="32" t="str">
        <f t="shared" ca="1" si="19"/>
        <v/>
      </c>
      <c r="H71" s="32" t="str">
        <f t="shared" ca="1" si="20"/>
        <v/>
      </c>
      <c r="I71" s="32" t="str">
        <f t="shared" ca="1" si="21"/>
        <v/>
      </c>
      <c r="J71" s="22" t="str">
        <f t="shared" ca="1" si="22"/>
        <v/>
      </c>
      <c r="K71" s="32" t="str">
        <f t="shared" ca="1" si="23"/>
        <v/>
      </c>
      <c r="L71" s="32" t="str">
        <f ca="1">IF(B71,MIN(Parámetros!$B$5-D71,-Parámetros!$B$12*LN(1-RAND())),"")</f>
        <v/>
      </c>
      <c r="M71" s="32" t="str">
        <f t="shared" ca="1" si="24"/>
        <v/>
      </c>
      <c r="N71" s="22" t="str">
        <f t="shared" ca="1" si="25"/>
        <v>-</v>
      </c>
      <c r="O71" s="22" t="str">
        <f ca="1">IF(E71="INTERVENCIÓN",IF(N71&gt;=Parámetros!$B$7,"SÍ","NO"),"-")</f>
        <v>-</v>
      </c>
      <c r="P71" s="23" t="str">
        <f ca="1">IF(E71="INTERVENCIÓN",IF(N71&gt;=Parámetros!$B$7,CHOOSE(RANDBETWEEN(1,2),"APROBADO","NO APROBADO"),"NO APROBADA - Sin quórum"),"-")</f>
        <v>-</v>
      </c>
    </row>
    <row r="72" spans="1:16" ht="15" customHeight="1" x14ac:dyDescent="0.45">
      <c r="A72" s="23" t="str">
        <f t="shared" ca="1" si="17"/>
        <v/>
      </c>
      <c r="B72" s="23">
        <f ca="1">IF(AND(ISNUMBER(D71),D71&lt;Parámetros!$B$5,ISNUMBER(K71),K71&lt;Parámetros!$B$5,A71&lt;MIN(Parámetros!$B$4,Parámetros!$B$10)),1,0)</f>
        <v>0</v>
      </c>
      <c r="C72" s="33" t="str">
        <f ca="1">IF(B72,-Parámetros!$B$11*LN(1-RAND()),"")</f>
        <v/>
      </c>
      <c r="D72" s="33" t="str">
        <f ca="1">IF(B72,MIN(D71+C72,Parámetros!$B$5),"")</f>
        <v/>
      </c>
      <c r="E72" s="23" t="str">
        <f t="shared" ca="1" si="18"/>
        <v/>
      </c>
      <c r="F72" s="33" t="str">
        <f ca="1">IF(B72,ABS(IF(E72="INTERVENCIÓN",NORMINV(RAND(),Parámetros!$B$13,Parámetros!$B$14),0)),"")</f>
        <v/>
      </c>
      <c r="G72" s="33" t="str">
        <f t="shared" ca="1" si="19"/>
        <v/>
      </c>
      <c r="H72" s="33" t="str">
        <f t="shared" ca="1" si="20"/>
        <v/>
      </c>
      <c r="I72" s="33" t="str">
        <f t="shared" ca="1" si="21"/>
        <v/>
      </c>
      <c r="J72" s="23" t="str">
        <f t="shared" ca="1" si="22"/>
        <v/>
      </c>
      <c r="K72" s="33" t="str">
        <f t="shared" ca="1" si="23"/>
        <v/>
      </c>
      <c r="L72" s="33" t="str">
        <f ca="1">IF(B72,MIN(Parámetros!$B$5-D72,-Parámetros!$B$12*LN(1-RAND())),"")</f>
        <v/>
      </c>
      <c r="M72" s="33" t="str">
        <f t="shared" ca="1" si="24"/>
        <v/>
      </c>
      <c r="N72" s="22" t="str">
        <f t="shared" ca="1" si="25"/>
        <v>-</v>
      </c>
      <c r="O72" s="22" t="str">
        <f ca="1">IF(E72="INTERVENCIÓN",IF(N72&gt;=Parámetros!$B$7,"SÍ","NO"),"-")</f>
        <v>-</v>
      </c>
      <c r="P72" s="23" t="str">
        <f ca="1">IF(E72="INTERVENCIÓN",IF(N72&gt;=Parámetros!$B$7,CHOOSE(RANDBETWEEN(1,2),"APROBADO","NO APROBADO"),"NO APROBADA - Sin quórum"),"-")</f>
        <v>-</v>
      </c>
    </row>
    <row r="73" spans="1:16" ht="15" customHeight="1" x14ac:dyDescent="0.45">
      <c r="A73" s="22" t="str">
        <f t="shared" ca="1" si="17"/>
        <v/>
      </c>
      <c r="B73" s="22">
        <f ca="1">IF(AND(ISNUMBER(D72),D72&lt;Parámetros!$B$5,ISNUMBER(K72),K72&lt;Parámetros!$B$5,A72&lt;MIN(Parámetros!$B$4,Parámetros!$B$10)),1,0)</f>
        <v>0</v>
      </c>
      <c r="C73" s="32" t="str">
        <f ca="1">IF(B73,-Parámetros!$B$11*LN(1-RAND()),"")</f>
        <v/>
      </c>
      <c r="D73" s="32" t="str">
        <f ca="1">IF(B73,MIN(D72+C73,Parámetros!$B$5),"")</f>
        <v/>
      </c>
      <c r="E73" s="22" t="str">
        <f t="shared" ca="1" si="18"/>
        <v/>
      </c>
      <c r="F73" s="32" t="str">
        <f ca="1">IF(B73,ABS(IF(E73="INTERVENCIÓN",NORMINV(RAND(),Parámetros!$B$13,Parámetros!$B$14),0)),"")</f>
        <v/>
      </c>
      <c r="G73" s="32" t="str">
        <f t="shared" ca="1" si="19"/>
        <v/>
      </c>
      <c r="H73" s="32" t="str">
        <f t="shared" ca="1" si="20"/>
        <v/>
      </c>
      <c r="I73" s="32" t="str">
        <f t="shared" ca="1" si="21"/>
        <v/>
      </c>
      <c r="J73" s="22" t="str">
        <f t="shared" ca="1" si="22"/>
        <v/>
      </c>
      <c r="K73" s="32" t="str">
        <f t="shared" ca="1" si="23"/>
        <v/>
      </c>
      <c r="L73" s="32" t="str">
        <f ca="1">IF(B73,MIN(Parámetros!$B$5-D73,-Parámetros!$B$12*LN(1-RAND())),"")</f>
        <v/>
      </c>
      <c r="M73" s="32" t="str">
        <f t="shared" ca="1" si="24"/>
        <v/>
      </c>
      <c r="N73" s="22" t="str">
        <f t="shared" ca="1" si="25"/>
        <v>-</v>
      </c>
      <c r="O73" s="22" t="str">
        <f ca="1">IF(E73="INTERVENCIÓN",IF(N73&gt;=Parámetros!$B$7,"SÍ","NO"),"-")</f>
        <v>-</v>
      </c>
      <c r="P73" s="23" t="str">
        <f ca="1">IF(E73="INTERVENCIÓN",IF(N73&gt;=Parámetros!$B$7,CHOOSE(RANDBETWEEN(1,2),"APROBADO","NO APROBADO"),"NO APROBADA - Sin quórum"),"-")</f>
        <v>-</v>
      </c>
    </row>
    <row r="74" spans="1:16" ht="15" customHeight="1" x14ac:dyDescent="0.45">
      <c r="A74" s="23" t="str">
        <f t="shared" ca="1" si="17"/>
        <v/>
      </c>
      <c r="B74" s="23">
        <f ca="1">IF(AND(ISNUMBER(D73),D73&lt;Parámetros!$B$5,ISNUMBER(K73),K73&lt;Parámetros!$B$5,A73&lt;MIN(Parámetros!$B$4,Parámetros!$B$10)),1,0)</f>
        <v>0</v>
      </c>
      <c r="C74" s="33" t="str">
        <f ca="1">IF(B74,-Parámetros!$B$11*LN(1-RAND()),"")</f>
        <v/>
      </c>
      <c r="D74" s="33" t="str">
        <f ca="1">IF(B74,MIN(D73+C74,Parámetros!$B$5),"")</f>
        <v/>
      </c>
      <c r="E74" s="23" t="str">
        <f t="shared" ca="1" si="18"/>
        <v/>
      </c>
      <c r="F74" s="33" t="str">
        <f ca="1">IF(B74,ABS(IF(E74="INTERVENCIÓN",NORMINV(RAND(),Parámetros!$B$13,Parámetros!$B$14),0)),"")</f>
        <v/>
      </c>
      <c r="G74" s="33" t="str">
        <f t="shared" ca="1" si="19"/>
        <v/>
      </c>
      <c r="H74" s="33" t="str">
        <f t="shared" ca="1" si="20"/>
        <v/>
      </c>
      <c r="I74" s="33" t="str">
        <f t="shared" ca="1" si="21"/>
        <v/>
      </c>
      <c r="J74" s="23" t="str">
        <f t="shared" ca="1" si="22"/>
        <v/>
      </c>
      <c r="K74" s="33" t="str">
        <f t="shared" ca="1" si="23"/>
        <v/>
      </c>
      <c r="L74" s="33" t="str">
        <f ca="1">IF(B74,MIN(Parámetros!$B$5-D74,-Parámetros!$B$12*LN(1-RAND())),"")</f>
        <v/>
      </c>
      <c r="M74" s="33" t="str">
        <f t="shared" ca="1" si="24"/>
        <v/>
      </c>
      <c r="N74" s="22" t="str">
        <f t="shared" ca="1" si="25"/>
        <v>-</v>
      </c>
      <c r="O74" s="22" t="str">
        <f ca="1">IF(E74="INTERVENCIÓN",IF(N74&gt;=Parámetros!$B$7,"SÍ","NO"),"-")</f>
        <v>-</v>
      </c>
      <c r="P74" s="23" t="str">
        <f ca="1">IF(E74="INTERVENCIÓN",IF(N74&gt;=Parámetros!$B$7,CHOOSE(RANDBETWEEN(1,2),"APROBADO","NO APROBADO"),"NO APROBADA - Sin quórum"),"-")</f>
        <v>-</v>
      </c>
    </row>
    <row r="75" spans="1:16" ht="15" customHeight="1" x14ac:dyDescent="0.45">
      <c r="A75" s="22" t="str">
        <f t="shared" ca="1" si="17"/>
        <v/>
      </c>
      <c r="B75" s="22">
        <f ca="1">IF(AND(ISNUMBER(D74),D74&lt;Parámetros!$B$5,ISNUMBER(K74),K74&lt;Parámetros!$B$5,A74&lt;MIN(Parámetros!$B$4,Parámetros!$B$10)),1,0)</f>
        <v>0</v>
      </c>
      <c r="C75" s="32" t="str">
        <f ca="1">IF(B75,-Parámetros!$B$11*LN(1-RAND()),"")</f>
        <v/>
      </c>
      <c r="D75" s="32" t="str">
        <f ca="1">IF(B75,MIN(D74+C75,Parámetros!$B$5),"")</f>
        <v/>
      </c>
      <c r="E75" s="22" t="str">
        <f t="shared" ca="1" si="18"/>
        <v/>
      </c>
      <c r="F75" s="32" t="str">
        <f ca="1">IF(B75,ABS(IF(E75="INTERVENCIÓN",NORMINV(RAND(),Parámetros!$B$13,Parámetros!$B$14),0)),"")</f>
        <v/>
      </c>
      <c r="G75" s="32" t="str">
        <f t="shared" ca="1" si="19"/>
        <v/>
      </c>
      <c r="H75" s="32" t="str">
        <f t="shared" ca="1" si="20"/>
        <v/>
      </c>
      <c r="I75" s="32" t="str">
        <f t="shared" ca="1" si="21"/>
        <v/>
      </c>
      <c r="J75" s="22" t="str">
        <f t="shared" ca="1" si="22"/>
        <v/>
      </c>
      <c r="K75" s="32" t="str">
        <f t="shared" ca="1" si="23"/>
        <v/>
      </c>
      <c r="L75" s="32" t="str">
        <f ca="1">IF(B75,MIN(Parámetros!$B$5-D75,-Parámetros!$B$12*LN(1-RAND())),"")</f>
        <v/>
      </c>
      <c r="M75" s="32" t="str">
        <f t="shared" ca="1" si="24"/>
        <v/>
      </c>
      <c r="N75" s="22" t="str">
        <f t="shared" ca="1" si="25"/>
        <v>-</v>
      </c>
      <c r="O75" s="22" t="str">
        <f ca="1">IF(E75="INTERVENCIÓN",IF(N75&gt;=Parámetros!$B$7,"SÍ","NO"),"-")</f>
        <v>-</v>
      </c>
      <c r="P75" s="23" t="str">
        <f ca="1">IF(E75="INTERVENCIÓN",IF(N75&gt;=Parámetros!$B$7,CHOOSE(RANDBETWEEN(1,2),"APROBADO","NO APROBADO"),"NO APROBADA - Sin quórum"),"-")</f>
        <v>-</v>
      </c>
    </row>
    <row r="76" spans="1:16" ht="15" customHeight="1" x14ac:dyDescent="0.45">
      <c r="A76" s="23" t="str">
        <f t="shared" ca="1" si="17"/>
        <v/>
      </c>
      <c r="B76" s="23">
        <f ca="1">IF(AND(ISNUMBER(D75),D75&lt;Parámetros!$B$5,ISNUMBER(K75),K75&lt;Parámetros!$B$5,A75&lt;MIN(Parámetros!$B$4,Parámetros!$B$10)),1,0)</f>
        <v>0</v>
      </c>
      <c r="C76" s="33" t="str">
        <f ca="1">IF(B76,-Parámetros!$B$11*LN(1-RAND()),"")</f>
        <v/>
      </c>
      <c r="D76" s="33" t="str">
        <f ca="1">IF(B76,MIN(D75+C76,Parámetros!$B$5),"")</f>
        <v/>
      </c>
      <c r="E76" s="23" t="str">
        <f t="shared" ca="1" si="18"/>
        <v/>
      </c>
      <c r="F76" s="33" t="str">
        <f ca="1">IF(B76,ABS(IF(E76="INTERVENCIÓN",NORMINV(RAND(),Parámetros!$B$13,Parámetros!$B$14),0)),"")</f>
        <v/>
      </c>
      <c r="G76" s="33" t="str">
        <f t="shared" ca="1" si="19"/>
        <v/>
      </c>
      <c r="H76" s="33" t="str">
        <f t="shared" ca="1" si="20"/>
        <v/>
      </c>
      <c r="I76" s="33" t="str">
        <f t="shared" ca="1" si="21"/>
        <v/>
      </c>
      <c r="J76" s="23" t="str">
        <f t="shared" ca="1" si="22"/>
        <v/>
      </c>
      <c r="K76" s="33" t="str">
        <f t="shared" ca="1" si="23"/>
        <v/>
      </c>
      <c r="L76" s="33" t="str">
        <f ca="1">IF(B76,MIN(Parámetros!$B$5-D76,-Parámetros!$B$12*LN(1-RAND())),"")</f>
        <v/>
      </c>
      <c r="M76" s="33" t="str">
        <f t="shared" ca="1" si="24"/>
        <v/>
      </c>
      <c r="N76" s="22" t="str">
        <f t="shared" ca="1" si="25"/>
        <v>-</v>
      </c>
      <c r="O76" s="22" t="str">
        <f ca="1">IF(E76="INTERVENCIÓN",IF(N76&gt;=Parámetros!$B$7,"SÍ","NO"),"-")</f>
        <v>-</v>
      </c>
      <c r="P76" s="23" t="str">
        <f ca="1">IF(E76="INTERVENCIÓN",IF(N76&gt;=Parámetros!$B$7,CHOOSE(RANDBETWEEN(1,2),"APROBADO","NO APROBADO"),"NO APROBADA - Sin quórum"),"-")</f>
        <v>-</v>
      </c>
    </row>
    <row r="77" spans="1:16" ht="15" customHeight="1" x14ac:dyDescent="0.45">
      <c r="A77" s="22" t="str">
        <f t="shared" ca="1" si="17"/>
        <v/>
      </c>
      <c r="B77" s="22">
        <f ca="1">IF(AND(ISNUMBER(D76),D76&lt;Parámetros!$B$5,ISNUMBER(K76),K76&lt;Parámetros!$B$5,A76&lt;MIN(Parámetros!$B$4,Parámetros!$B$10)),1,0)</f>
        <v>0</v>
      </c>
      <c r="C77" s="32" t="str">
        <f ca="1">IF(B77,-Parámetros!$B$11*LN(1-RAND()),"")</f>
        <v/>
      </c>
      <c r="D77" s="32" t="str">
        <f ca="1">IF(B77,MIN(D76+C77,Parámetros!$B$5),"")</f>
        <v/>
      </c>
      <c r="E77" s="22" t="str">
        <f t="shared" ca="1" si="18"/>
        <v/>
      </c>
      <c r="F77" s="32" t="str">
        <f ca="1">IF(B77,ABS(IF(E77="INTERVENCIÓN",NORMINV(RAND(),Parámetros!$B$13,Parámetros!$B$14),0)),"")</f>
        <v/>
      </c>
      <c r="G77" s="32" t="str">
        <f t="shared" ca="1" si="19"/>
        <v/>
      </c>
      <c r="H77" s="32" t="str">
        <f t="shared" ca="1" si="20"/>
        <v/>
      </c>
      <c r="I77" s="32" t="str">
        <f t="shared" ca="1" si="21"/>
        <v/>
      </c>
      <c r="J77" s="22" t="str">
        <f t="shared" ca="1" si="22"/>
        <v/>
      </c>
      <c r="K77" s="32" t="str">
        <f t="shared" ca="1" si="23"/>
        <v/>
      </c>
      <c r="L77" s="32" t="str">
        <f ca="1">IF(B77,MIN(Parámetros!$B$5-D77,-Parámetros!$B$12*LN(1-RAND())),"")</f>
        <v/>
      </c>
      <c r="M77" s="32" t="str">
        <f t="shared" ca="1" si="24"/>
        <v/>
      </c>
      <c r="N77" s="22" t="str">
        <f t="shared" ca="1" si="25"/>
        <v>-</v>
      </c>
      <c r="O77" s="22" t="str">
        <f ca="1">IF(E77="INTERVENCIÓN",IF(N77&gt;=Parámetros!$B$7,"SÍ","NO"),"-")</f>
        <v>-</v>
      </c>
      <c r="P77" s="23" t="str">
        <f ca="1">IF(E77="INTERVENCIÓN",IF(N77&gt;=Parámetros!$B$7,CHOOSE(RANDBETWEEN(1,2),"APROBADO","NO APROBADO"),"NO APROBADA - Sin quórum"),"-")</f>
        <v>-</v>
      </c>
    </row>
    <row r="78" spans="1:16" ht="15" customHeight="1" x14ac:dyDescent="0.45">
      <c r="A78" s="23" t="str">
        <f t="shared" ca="1" si="17"/>
        <v/>
      </c>
      <c r="B78" s="23">
        <f ca="1">IF(AND(ISNUMBER(D77),D77&lt;Parámetros!$B$5,ISNUMBER(K77),K77&lt;Parámetros!$B$5,A77&lt;MIN(Parámetros!$B$4,Parámetros!$B$10)),1,0)</f>
        <v>0</v>
      </c>
      <c r="C78" s="33" t="str">
        <f ca="1">IF(B78,-Parámetros!$B$11*LN(1-RAND()),"")</f>
        <v/>
      </c>
      <c r="D78" s="33" t="str">
        <f ca="1">IF(B78,MIN(D77+C78,Parámetros!$B$5),"")</f>
        <v/>
      </c>
      <c r="E78" s="23" t="str">
        <f t="shared" ca="1" si="18"/>
        <v/>
      </c>
      <c r="F78" s="33" t="str">
        <f ca="1">IF(B78,ABS(IF(E78="INTERVENCIÓN",NORMINV(RAND(),Parámetros!$B$13,Parámetros!$B$14),0)),"")</f>
        <v/>
      </c>
      <c r="G78" s="33" t="str">
        <f t="shared" ca="1" si="19"/>
        <v/>
      </c>
      <c r="H78" s="33" t="str">
        <f t="shared" ca="1" si="20"/>
        <v/>
      </c>
      <c r="I78" s="33" t="str">
        <f t="shared" ca="1" si="21"/>
        <v/>
      </c>
      <c r="J78" s="23" t="str">
        <f t="shared" ca="1" si="22"/>
        <v/>
      </c>
      <c r="K78" s="33" t="str">
        <f t="shared" ca="1" si="23"/>
        <v/>
      </c>
      <c r="L78" s="33" t="str">
        <f ca="1">IF(B78,MIN(Parámetros!$B$5-D78,-Parámetros!$B$12*LN(1-RAND())),"")</f>
        <v/>
      </c>
      <c r="M78" s="33" t="str">
        <f t="shared" ca="1" si="24"/>
        <v/>
      </c>
      <c r="N78" s="22" t="str">
        <f t="shared" ca="1" si="25"/>
        <v>-</v>
      </c>
      <c r="O78" s="22" t="str">
        <f ca="1">IF(E78="INTERVENCIÓN",IF(N78&gt;=Parámetros!$B$7,"SÍ","NO"),"-")</f>
        <v>-</v>
      </c>
      <c r="P78" s="23" t="str">
        <f ca="1">IF(E78="INTERVENCIÓN",IF(N78&gt;=Parámetros!$B$7,CHOOSE(RANDBETWEEN(1,2),"APROBADO","NO APROBADO"),"NO APROBADA - Sin quórum"),"-")</f>
        <v>-</v>
      </c>
    </row>
    <row r="79" spans="1:16" ht="15" customHeight="1" x14ac:dyDescent="0.45">
      <c r="A79" s="22" t="str">
        <f t="shared" ca="1" si="17"/>
        <v/>
      </c>
      <c r="B79" s="22">
        <f ca="1">IF(AND(ISNUMBER(D78),D78&lt;Parámetros!$B$5,ISNUMBER(K78),K78&lt;Parámetros!$B$5,A78&lt;MIN(Parámetros!$B$4,Parámetros!$B$10)),1,0)</f>
        <v>0</v>
      </c>
      <c r="C79" s="32" t="str">
        <f ca="1">IF(B79,-Parámetros!$B$11*LN(1-RAND()),"")</f>
        <v/>
      </c>
      <c r="D79" s="32" t="str">
        <f ca="1">IF(B79,MIN(D78+C79,Parámetros!$B$5),"")</f>
        <v/>
      </c>
      <c r="E79" s="22" t="str">
        <f t="shared" ca="1" si="18"/>
        <v/>
      </c>
      <c r="F79" s="32" t="str">
        <f ca="1">IF(B79,ABS(IF(E79="INTERVENCIÓN",NORMINV(RAND(),Parámetros!$B$13,Parámetros!$B$14),0)),"")</f>
        <v/>
      </c>
      <c r="G79" s="32" t="str">
        <f t="shared" ca="1" si="19"/>
        <v/>
      </c>
      <c r="H79" s="32" t="str">
        <f t="shared" ca="1" si="20"/>
        <v/>
      </c>
      <c r="I79" s="32" t="str">
        <f t="shared" ca="1" si="21"/>
        <v/>
      </c>
      <c r="J79" s="22" t="str">
        <f t="shared" ca="1" si="22"/>
        <v/>
      </c>
      <c r="K79" s="32" t="str">
        <f t="shared" ca="1" si="23"/>
        <v/>
      </c>
      <c r="L79" s="32" t="str">
        <f ca="1">IF(B79,MIN(Parámetros!$B$5-D79,-Parámetros!$B$12*LN(1-RAND())),"")</f>
        <v/>
      </c>
      <c r="M79" s="32" t="str">
        <f t="shared" ca="1" si="24"/>
        <v/>
      </c>
      <c r="N79" s="22" t="str">
        <f t="shared" ca="1" si="25"/>
        <v>-</v>
      </c>
      <c r="O79" s="22" t="str">
        <f ca="1">IF(E79="INTERVENCIÓN",IF(N79&gt;=Parámetros!$B$7,"SÍ","NO"),"-")</f>
        <v>-</v>
      </c>
      <c r="P79" s="23" t="str">
        <f ca="1">IF(E79="INTERVENCIÓN",IF(N79&gt;=Parámetros!$B$7,CHOOSE(RANDBETWEEN(1,2),"APROBADO","NO APROBADO"),"NO APROBADA - Sin quórum"),"-")</f>
        <v>-</v>
      </c>
    </row>
    <row r="80" spans="1:16" ht="15" customHeight="1" x14ac:dyDescent="0.45">
      <c r="A80" s="23" t="str">
        <f t="shared" ca="1" si="17"/>
        <v/>
      </c>
      <c r="B80" s="23">
        <f ca="1">IF(AND(ISNUMBER(D79),D79&lt;Parámetros!$B$5,ISNUMBER(K79),K79&lt;Parámetros!$B$5,A79&lt;MIN(Parámetros!$B$4,Parámetros!$B$10)),1,0)</f>
        <v>0</v>
      </c>
      <c r="C80" s="33" t="str">
        <f ca="1">IF(B80,-Parámetros!$B$11*LN(1-RAND()),"")</f>
        <v/>
      </c>
      <c r="D80" s="33" t="str">
        <f ca="1">IF(B80,MIN(D79+C80,Parámetros!$B$5),"")</f>
        <v/>
      </c>
      <c r="E80" s="23" t="str">
        <f t="shared" ca="1" si="18"/>
        <v/>
      </c>
      <c r="F80" s="33" t="str">
        <f ca="1">IF(B80,ABS(IF(E80="INTERVENCIÓN",NORMINV(RAND(),Parámetros!$B$13,Parámetros!$B$14),0)),"")</f>
        <v/>
      </c>
      <c r="G80" s="33" t="str">
        <f t="shared" ca="1" si="19"/>
        <v/>
      </c>
      <c r="H80" s="33" t="str">
        <f t="shared" ca="1" si="20"/>
        <v/>
      </c>
      <c r="I80" s="33" t="str">
        <f t="shared" ca="1" si="21"/>
        <v/>
      </c>
      <c r="J80" s="23" t="str">
        <f t="shared" ca="1" si="22"/>
        <v/>
      </c>
      <c r="K80" s="33" t="str">
        <f t="shared" ca="1" si="23"/>
        <v/>
      </c>
      <c r="L80" s="33" t="str">
        <f ca="1">IF(B80,MIN(Parámetros!$B$5-D80,-Parámetros!$B$12*LN(1-RAND())),"")</f>
        <v/>
      </c>
      <c r="M80" s="33" t="str">
        <f t="shared" ca="1" si="24"/>
        <v/>
      </c>
      <c r="N80" s="22" t="str">
        <f t="shared" ca="1" si="25"/>
        <v>-</v>
      </c>
      <c r="O80" s="22" t="str">
        <f ca="1">IF(E80="INTERVENCIÓN",IF(N80&gt;=Parámetros!$B$7,"SÍ","NO"),"-")</f>
        <v>-</v>
      </c>
      <c r="P80" s="23" t="str">
        <f ca="1">IF(E80="INTERVENCIÓN",IF(N80&gt;=Parámetros!$B$7,CHOOSE(RANDBETWEEN(1,2),"APROBADO","NO APROBADO"),"NO APROBADA - Sin quórum"),"-")</f>
        <v>-</v>
      </c>
    </row>
    <row r="81" spans="1:16" ht="15" customHeight="1" x14ac:dyDescent="0.45">
      <c r="A81" s="22" t="str">
        <f t="shared" ca="1" si="17"/>
        <v/>
      </c>
      <c r="B81" s="22">
        <f ca="1">IF(AND(ISNUMBER(D80),D80&lt;Parámetros!$B$5,ISNUMBER(K80),K80&lt;Parámetros!$B$5,A80&lt;MIN(Parámetros!$B$4,Parámetros!$B$10)),1,0)</f>
        <v>0</v>
      </c>
      <c r="C81" s="32" t="str">
        <f ca="1">IF(B81,-Parámetros!$B$11*LN(1-RAND()),"")</f>
        <v/>
      </c>
      <c r="D81" s="32" t="str">
        <f ca="1">IF(B81,MIN(D80+C81,Parámetros!$B$5),"")</f>
        <v/>
      </c>
      <c r="E81" s="22" t="str">
        <f t="shared" ca="1" si="18"/>
        <v/>
      </c>
      <c r="F81" s="32" t="str">
        <f ca="1">IF(B81,ABS(IF(E81="INTERVENCIÓN",NORMINV(RAND(),Parámetros!$B$13,Parámetros!$B$14),0)),"")</f>
        <v/>
      </c>
      <c r="G81" s="32" t="str">
        <f t="shared" ca="1" si="19"/>
        <v/>
      </c>
      <c r="H81" s="32" t="str">
        <f t="shared" ca="1" si="20"/>
        <v/>
      </c>
      <c r="I81" s="32" t="str">
        <f t="shared" ca="1" si="21"/>
        <v/>
      </c>
      <c r="J81" s="22" t="str">
        <f t="shared" ca="1" si="22"/>
        <v/>
      </c>
      <c r="K81" s="32" t="str">
        <f t="shared" ca="1" si="23"/>
        <v/>
      </c>
      <c r="L81" s="32" t="str">
        <f ca="1">IF(B81,MIN(Parámetros!$B$5-D81,-Parámetros!$B$12*LN(1-RAND())),"")</f>
        <v/>
      </c>
      <c r="M81" s="32" t="str">
        <f t="shared" ca="1" si="24"/>
        <v/>
      </c>
      <c r="N81" s="22" t="str">
        <f t="shared" ca="1" si="25"/>
        <v>-</v>
      </c>
      <c r="O81" s="22" t="str">
        <f ca="1">IF(E81="INTERVENCIÓN",IF(N81&gt;=Parámetros!$B$7,"SÍ","NO"),"-")</f>
        <v>-</v>
      </c>
      <c r="P81" s="23" t="str">
        <f ca="1">IF(E81="INTERVENCIÓN",IF(N81&gt;=Parámetros!$B$7,CHOOSE(RANDBETWEEN(1,2),"APROBADO","NO APROBADO"),"NO APROBADA - Sin quórum"),"-")</f>
        <v>-</v>
      </c>
    </row>
    <row r="82" spans="1:16" ht="15" customHeight="1" x14ac:dyDescent="0.45">
      <c r="A82" s="23" t="str">
        <f t="shared" ca="1" si="17"/>
        <v/>
      </c>
      <c r="B82" s="23">
        <f ca="1">IF(AND(ISNUMBER(D81),D81&lt;Parámetros!$B$5,ISNUMBER(K81),K81&lt;Parámetros!$B$5,A81&lt;MIN(Parámetros!$B$4,Parámetros!$B$10)),1,0)</f>
        <v>0</v>
      </c>
      <c r="C82" s="33" t="str">
        <f ca="1">IF(B82,-Parámetros!$B$11*LN(1-RAND()),"")</f>
        <v/>
      </c>
      <c r="D82" s="33" t="str">
        <f ca="1">IF(B82,MIN(D81+C82,Parámetros!$B$5),"")</f>
        <v/>
      </c>
      <c r="E82" s="23" t="str">
        <f t="shared" ca="1" si="18"/>
        <v/>
      </c>
      <c r="F82" s="33" t="str">
        <f ca="1">IF(B82,ABS(IF(E82="INTERVENCIÓN",NORMINV(RAND(),Parámetros!$B$13,Parámetros!$B$14),0)),"")</f>
        <v/>
      </c>
      <c r="G82" s="33" t="str">
        <f t="shared" ca="1" si="19"/>
        <v/>
      </c>
      <c r="H82" s="33" t="str">
        <f t="shared" ca="1" si="20"/>
        <v/>
      </c>
      <c r="I82" s="33" t="str">
        <f t="shared" ca="1" si="21"/>
        <v/>
      </c>
      <c r="J82" s="23" t="str">
        <f t="shared" ca="1" si="22"/>
        <v/>
      </c>
      <c r="K82" s="33" t="str">
        <f t="shared" ca="1" si="23"/>
        <v/>
      </c>
      <c r="L82" s="33" t="str">
        <f ca="1">IF(B82,MIN(Parámetros!$B$5-D82,-Parámetros!$B$12*LN(1-RAND())),"")</f>
        <v/>
      </c>
      <c r="M82" s="33" t="str">
        <f t="shared" ca="1" si="24"/>
        <v/>
      </c>
      <c r="N82" s="22" t="str">
        <f t="shared" ca="1" si="25"/>
        <v>-</v>
      </c>
      <c r="O82" s="22" t="str">
        <f ca="1">IF(E82="INTERVENCIÓN",IF(N82&gt;=Parámetros!$B$7,"SÍ","NO"),"-")</f>
        <v>-</v>
      </c>
      <c r="P82" s="23" t="str">
        <f ca="1">IF(E82="INTERVENCIÓN",IF(N82&gt;=Parámetros!$B$7,CHOOSE(RANDBETWEEN(1,2),"APROBADO","NO APROBADO"),"NO APROBADA - Sin quórum"),"-")</f>
        <v>-</v>
      </c>
    </row>
    <row r="83" spans="1:16" ht="15" customHeight="1" x14ac:dyDescent="0.45">
      <c r="A83" s="22" t="str">
        <f t="shared" ca="1" si="17"/>
        <v/>
      </c>
      <c r="B83" s="22">
        <f ca="1">IF(AND(ISNUMBER(D82),D82&lt;Parámetros!$B$5,ISNUMBER(K82),K82&lt;Parámetros!$B$5,A82&lt;MIN(Parámetros!$B$4,Parámetros!$B$10)),1,0)</f>
        <v>0</v>
      </c>
      <c r="C83" s="32" t="str">
        <f ca="1">IF(B83,-Parámetros!$B$11*LN(1-RAND()),"")</f>
        <v/>
      </c>
      <c r="D83" s="32" t="str">
        <f ca="1">IF(B83,MIN(D82+C83,Parámetros!$B$5),"")</f>
        <v/>
      </c>
      <c r="E83" s="22" t="str">
        <f t="shared" ca="1" si="18"/>
        <v/>
      </c>
      <c r="F83" s="32" t="str">
        <f ca="1">IF(B83,ABS(IF(E83="INTERVENCIÓN",NORMINV(RAND(),Parámetros!$B$13,Parámetros!$B$14),0)),"")</f>
        <v/>
      </c>
      <c r="G83" s="32" t="str">
        <f t="shared" ca="1" si="19"/>
        <v/>
      </c>
      <c r="H83" s="32" t="str">
        <f t="shared" ca="1" si="20"/>
        <v/>
      </c>
      <c r="I83" s="32" t="str">
        <f t="shared" ca="1" si="21"/>
        <v/>
      </c>
      <c r="J83" s="22" t="str">
        <f t="shared" ca="1" si="22"/>
        <v/>
      </c>
      <c r="K83" s="32" t="str">
        <f t="shared" ca="1" si="23"/>
        <v/>
      </c>
      <c r="L83" s="32" t="str">
        <f ca="1">IF(B83,MIN(Parámetros!$B$5-D83,-Parámetros!$B$12*LN(1-RAND())),"")</f>
        <v/>
      </c>
      <c r="M83" s="32" t="str">
        <f t="shared" ca="1" si="24"/>
        <v/>
      </c>
      <c r="N83" s="22" t="str">
        <f t="shared" ca="1" si="25"/>
        <v>-</v>
      </c>
      <c r="O83" s="22" t="str">
        <f ca="1">IF(E83="INTERVENCIÓN",IF(N83&gt;=Parámetros!$B$7,"SÍ","NO"),"-")</f>
        <v>-</v>
      </c>
      <c r="P83" s="23" t="str">
        <f ca="1">IF(E83="INTERVENCIÓN",IF(N83&gt;=Parámetros!$B$7,CHOOSE(RANDBETWEEN(1,2),"APROBADO","NO APROBADO"),"NO APROBADA - Sin quórum"),"-")</f>
        <v>-</v>
      </c>
    </row>
    <row r="84" spans="1:16" ht="15" customHeight="1" x14ac:dyDescent="0.45">
      <c r="A84" s="23" t="str">
        <f t="shared" ca="1" si="17"/>
        <v/>
      </c>
      <c r="B84" s="23">
        <f ca="1">IF(AND(ISNUMBER(D83),D83&lt;Parámetros!$B$5,ISNUMBER(K83),K83&lt;Parámetros!$B$5,A83&lt;MIN(Parámetros!$B$4,Parámetros!$B$10)),1,0)</f>
        <v>0</v>
      </c>
      <c r="C84" s="33" t="str">
        <f ca="1">IF(B84,-Parámetros!$B$11*LN(1-RAND()),"")</f>
        <v/>
      </c>
      <c r="D84" s="33" t="str">
        <f ca="1">IF(B84,MIN(D83+C84,Parámetros!$B$5),"")</f>
        <v/>
      </c>
      <c r="E84" s="23" t="str">
        <f t="shared" ca="1" si="18"/>
        <v/>
      </c>
      <c r="F84" s="33" t="str">
        <f ca="1">IF(B84,ABS(IF(E84="INTERVENCIÓN",NORMINV(RAND(),Parámetros!$B$13,Parámetros!$B$14),0)),"")</f>
        <v/>
      </c>
      <c r="G84" s="33" t="str">
        <f t="shared" ca="1" si="19"/>
        <v/>
      </c>
      <c r="H84" s="33" t="str">
        <f t="shared" ca="1" si="20"/>
        <v/>
      </c>
      <c r="I84" s="33" t="str">
        <f t="shared" ca="1" si="21"/>
        <v/>
      </c>
      <c r="J84" s="23" t="str">
        <f t="shared" ca="1" si="22"/>
        <v/>
      </c>
      <c r="K84" s="33" t="str">
        <f t="shared" ca="1" si="23"/>
        <v/>
      </c>
      <c r="L84" s="33" t="str">
        <f ca="1">IF(B84,MIN(Parámetros!$B$5-D84,-Parámetros!$B$12*LN(1-RAND())),"")</f>
        <v/>
      </c>
      <c r="M84" s="33" t="str">
        <f t="shared" ca="1" si="24"/>
        <v/>
      </c>
      <c r="N84" s="22" t="str">
        <f t="shared" ca="1" si="25"/>
        <v>-</v>
      </c>
      <c r="O84" s="22" t="str">
        <f ca="1">IF(E84="INTERVENCIÓN",IF(N84&gt;=Parámetros!$B$7,"SÍ","NO"),"-")</f>
        <v>-</v>
      </c>
      <c r="P84" s="23" t="str">
        <f ca="1">IF(E84="INTERVENCIÓN",IF(N84&gt;=Parámetros!$B$7,CHOOSE(RANDBETWEEN(1,2),"APROBADO","NO APROBADO"),"NO APROBADA - Sin quórum"),"-")</f>
        <v>-</v>
      </c>
    </row>
    <row r="85" spans="1:16" ht="15" customHeight="1" x14ac:dyDescent="0.45">
      <c r="A85" s="22" t="str">
        <f t="shared" ca="1" si="17"/>
        <v/>
      </c>
      <c r="B85" s="22">
        <f ca="1">IF(AND(ISNUMBER(D84),D84&lt;Parámetros!$B$5,ISNUMBER(K84),K84&lt;Parámetros!$B$5,A84&lt;MIN(Parámetros!$B$4,Parámetros!$B$10)),1,0)</f>
        <v>0</v>
      </c>
      <c r="C85" s="32" t="str">
        <f ca="1">IF(B85,-Parámetros!$B$11*LN(1-RAND()),"")</f>
        <v/>
      </c>
      <c r="D85" s="32" t="str">
        <f ca="1">IF(B85,MIN(D84+C85,Parámetros!$B$5),"")</f>
        <v/>
      </c>
      <c r="E85" s="22" t="str">
        <f t="shared" ca="1" si="18"/>
        <v/>
      </c>
      <c r="F85" s="32" t="str">
        <f ca="1">IF(B85,ABS(IF(E85="INTERVENCIÓN",NORMINV(RAND(),Parámetros!$B$13,Parámetros!$B$14),0)),"")</f>
        <v/>
      </c>
      <c r="G85" s="32" t="str">
        <f t="shared" ca="1" si="19"/>
        <v/>
      </c>
      <c r="H85" s="32" t="str">
        <f t="shared" ca="1" si="20"/>
        <v/>
      </c>
      <c r="I85" s="32" t="str">
        <f t="shared" ca="1" si="21"/>
        <v/>
      </c>
      <c r="J85" s="22" t="str">
        <f t="shared" ca="1" si="22"/>
        <v/>
      </c>
      <c r="K85" s="32" t="str">
        <f t="shared" ca="1" si="23"/>
        <v/>
      </c>
      <c r="L85" s="32" t="str">
        <f ca="1">IF(B85,MIN(Parámetros!$B$5-D85,-Parámetros!$B$12*LN(1-RAND())),"")</f>
        <v/>
      </c>
      <c r="M85" s="32" t="str">
        <f t="shared" ca="1" si="24"/>
        <v/>
      </c>
      <c r="N85" s="22" t="str">
        <f t="shared" ca="1" si="25"/>
        <v>-</v>
      </c>
      <c r="O85" s="22" t="str">
        <f ca="1">IF(E85="INTERVENCIÓN",IF(N85&gt;=Parámetros!$B$7,"SÍ","NO"),"-")</f>
        <v>-</v>
      </c>
      <c r="P85" s="23" t="str">
        <f ca="1">IF(E85="INTERVENCIÓN",IF(N85&gt;=Parámetros!$B$7,CHOOSE(RANDBETWEEN(1,2),"APROBADO","NO APROBADO"),"NO APROBADA - Sin quórum"),"-")</f>
        <v>-</v>
      </c>
    </row>
    <row r="86" spans="1:16" ht="15" customHeight="1" x14ac:dyDescent="0.45">
      <c r="A86" s="23" t="str">
        <f t="shared" ca="1" si="17"/>
        <v/>
      </c>
      <c r="B86" s="23">
        <f ca="1">IF(AND(ISNUMBER(D85),D85&lt;Parámetros!$B$5,ISNUMBER(K85),K85&lt;Parámetros!$B$5,A85&lt;MIN(Parámetros!$B$4,Parámetros!$B$10)),1,0)</f>
        <v>0</v>
      </c>
      <c r="C86" s="33" t="str">
        <f ca="1">IF(B86,-Parámetros!$B$11*LN(1-RAND()),"")</f>
        <v/>
      </c>
      <c r="D86" s="33" t="str">
        <f ca="1">IF(B86,MIN(D85+C86,Parámetros!$B$5),"")</f>
        <v/>
      </c>
      <c r="E86" s="23" t="str">
        <f t="shared" ca="1" si="18"/>
        <v/>
      </c>
      <c r="F86" s="33" t="str">
        <f ca="1">IF(B86,ABS(IF(E86="INTERVENCIÓN",NORMINV(RAND(),Parámetros!$B$13,Parámetros!$B$14),0)),"")</f>
        <v/>
      </c>
      <c r="G86" s="33" t="str">
        <f t="shared" ca="1" si="19"/>
        <v/>
      </c>
      <c r="H86" s="33" t="str">
        <f t="shared" ca="1" si="20"/>
        <v/>
      </c>
      <c r="I86" s="33" t="str">
        <f t="shared" ca="1" si="21"/>
        <v/>
      </c>
      <c r="J86" s="23" t="str">
        <f t="shared" ca="1" si="22"/>
        <v/>
      </c>
      <c r="K86" s="33" t="str">
        <f t="shared" ca="1" si="23"/>
        <v/>
      </c>
      <c r="L86" s="33" t="str">
        <f ca="1">IF(B86,MIN(Parámetros!$B$5-D86,-Parámetros!$B$12*LN(1-RAND())),"")</f>
        <v/>
      </c>
      <c r="M86" s="33" t="str">
        <f t="shared" ca="1" si="24"/>
        <v/>
      </c>
      <c r="N86" s="22" t="str">
        <f t="shared" ca="1" si="25"/>
        <v>-</v>
      </c>
      <c r="O86" s="22" t="str">
        <f ca="1">IF(E86="INTERVENCIÓN",IF(N86&gt;=Parámetros!$B$7,"SÍ","NO"),"-")</f>
        <v>-</v>
      </c>
      <c r="P86" s="23" t="str">
        <f ca="1">IF(E86="INTERVENCIÓN",IF(N86&gt;=Parámetros!$B$7,CHOOSE(RANDBETWEEN(1,2),"APROBADO","NO APROBADO"),"NO APROBADA - Sin quórum"),"-")</f>
        <v>-</v>
      </c>
    </row>
    <row r="87" spans="1:16" ht="15" customHeight="1" x14ac:dyDescent="0.45">
      <c r="A87" s="22" t="str">
        <f t="shared" ca="1" si="17"/>
        <v/>
      </c>
      <c r="B87" s="22">
        <f ca="1">IF(AND(ISNUMBER(D86),D86&lt;Parámetros!$B$5,ISNUMBER(K86),K86&lt;Parámetros!$B$5,A86&lt;MIN(Parámetros!$B$4,Parámetros!$B$10)),1,0)</f>
        <v>0</v>
      </c>
      <c r="C87" s="32" t="str">
        <f ca="1">IF(B87,-Parámetros!$B$11*LN(1-RAND()),"")</f>
        <v/>
      </c>
      <c r="D87" s="32" t="str">
        <f ca="1">IF(B87,MIN(D86+C87,Parámetros!$B$5),"")</f>
        <v/>
      </c>
      <c r="E87" s="22" t="str">
        <f t="shared" ca="1" si="18"/>
        <v/>
      </c>
      <c r="F87" s="32" t="str">
        <f ca="1">IF(B87,ABS(IF(E87="INTERVENCIÓN",NORMINV(RAND(),Parámetros!$B$13,Parámetros!$B$14),0)),"")</f>
        <v/>
      </c>
      <c r="G87" s="32" t="str">
        <f t="shared" ca="1" si="19"/>
        <v/>
      </c>
      <c r="H87" s="32" t="str">
        <f t="shared" ca="1" si="20"/>
        <v/>
      </c>
      <c r="I87" s="32" t="str">
        <f t="shared" ca="1" si="21"/>
        <v/>
      </c>
      <c r="J87" s="22" t="str">
        <f t="shared" ca="1" si="22"/>
        <v/>
      </c>
      <c r="K87" s="32" t="str">
        <f t="shared" ca="1" si="23"/>
        <v/>
      </c>
      <c r="L87" s="32" t="str">
        <f ca="1">IF(B87,MIN(Parámetros!$B$5-D87,-Parámetros!$B$12*LN(1-RAND())),"")</f>
        <v/>
      </c>
      <c r="M87" s="32" t="str">
        <f t="shared" ca="1" si="24"/>
        <v/>
      </c>
      <c r="N87" s="22" t="str">
        <f t="shared" ca="1" si="25"/>
        <v>-</v>
      </c>
      <c r="O87" s="22" t="str">
        <f ca="1">IF(E87="INTERVENCIÓN",IF(N87&gt;=Parámetros!$B$7,"SÍ","NO"),"-")</f>
        <v>-</v>
      </c>
      <c r="P87" s="23" t="str">
        <f ca="1">IF(E87="INTERVENCIÓN",IF(N87&gt;=Parámetros!$B$7,CHOOSE(RANDBETWEEN(1,2),"APROBADO","NO APROBADO"),"NO APROBADA - Sin quórum"),"-")</f>
        <v>-</v>
      </c>
    </row>
    <row r="88" spans="1:16" ht="15" customHeight="1" x14ac:dyDescent="0.45">
      <c r="A88" s="23" t="str">
        <f t="shared" ca="1" si="17"/>
        <v/>
      </c>
      <c r="B88" s="23">
        <f ca="1">IF(AND(ISNUMBER(D87),D87&lt;Parámetros!$B$5,ISNUMBER(K87),K87&lt;Parámetros!$B$5,A87&lt;MIN(Parámetros!$B$4,Parámetros!$B$10)),1,0)</f>
        <v>0</v>
      </c>
      <c r="C88" s="33" t="str">
        <f ca="1">IF(B88,-Parámetros!$B$11*LN(1-RAND()),"")</f>
        <v/>
      </c>
      <c r="D88" s="33" t="str">
        <f ca="1">IF(B88,MIN(D87+C88,Parámetros!$B$5),"")</f>
        <v/>
      </c>
      <c r="E88" s="23" t="str">
        <f t="shared" ca="1" si="18"/>
        <v/>
      </c>
      <c r="F88" s="33" t="str">
        <f ca="1">IF(B88,ABS(IF(E88="INTERVENCIÓN",NORMINV(RAND(),Parámetros!$B$13,Parámetros!$B$14),0)),"")</f>
        <v/>
      </c>
      <c r="G88" s="33" t="str">
        <f t="shared" ca="1" si="19"/>
        <v/>
      </c>
      <c r="H88" s="33" t="str">
        <f t="shared" ca="1" si="20"/>
        <v/>
      </c>
      <c r="I88" s="33" t="str">
        <f t="shared" ca="1" si="21"/>
        <v/>
      </c>
      <c r="J88" s="23" t="str">
        <f t="shared" ca="1" si="22"/>
        <v/>
      </c>
      <c r="K88" s="33" t="str">
        <f t="shared" ca="1" si="23"/>
        <v/>
      </c>
      <c r="L88" s="33" t="str">
        <f ca="1">IF(B88,MIN(Parámetros!$B$5-D88,-Parámetros!$B$12*LN(1-RAND())),"")</f>
        <v/>
      </c>
      <c r="M88" s="33" t="str">
        <f t="shared" ca="1" si="24"/>
        <v/>
      </c>
      <c r="N88" s="22" t="str">
        <f t="shared" ca="1" si="25"/>
        <v>-</v>
      </c>
      <c r="O88" s="22" t="str">
        <f ca="1">IF(E88="INTERVENCIÓN",IF(N88&gt;=Parámetros!$B$7,"SÍ","NO"),"-")</f>
        <v>-</v>
      </c>
      <c r="P88" s="23" t="str">
        <f ca="1">IF(E88="INTERVENCIÓN",IF(N88&gt;=Parámetros!$B$7,CHOOSE(RANDBETWEEN(1,2),"APROBADO","NO APROBADO"),"NO APROBADA - Sin quórum"),"-")</f>
        <v>-</v>
      </c>
    </row>
    <row r="89" spans="1:16" ht="15" customHeight="1" x14ac:dyDescent="0.45">
      <c r="A89" s="22" t="str">
        <f t="shared" ca="1" si="17"/>
        <v/>
      </c>
      <c r="B89" s="22">
        <f ca="1">IF(AND(ISNUMBER(D88),D88&lt;Parámetros!$B$5,ISNUMBER(K88),K88&lt;Parámetros!$B$5,A88&lt;MIN(Parámetros!$B$4,Parámetros!$B$10)),1,0)</f>
        <v>0</v>
      </c>
      <c r="C89" s="32" t="str">
        <f ca="1">IF(B89,-Parámetros!$B$11*LN(1-RAND()),"")</f>
        <v/>
      </c>
      <c r="D89" s="32" t="str">
        <f ca="1">IF(B89,MIN(D88+C89,Parámetros!$B$5),"")</f>
        <v/>
      </c>
      <c r="E89" s="22" t="str">
        <f t="shared" ca="1" si="18"/>
        <v/>
      </c>
      <c r="F89" s="32" t="str">
        <f ca="1">IF(B89,ABS(IF(E89="INTERVENCIÓN",NORMINV(RAND(),Parámetros!$B$13,Parámetros!$B$14),0)),"")</f>
        <v/>
      </c>
      <c r="G89" s="32" t="str">
        <f t="shared" ca="1" si="19"/>
        <v/>
      </c>
      <c r="H89" s="32" t="str">
        <f t="shared" ca="1" si="20"/>
        <v/>
      </c>
      <c r="I89" s="32" t="str">
        <f t="shared" ca="1" si="21"/>
        <v/>
      </c>
      <c r="J89" s="22" t="str">
        <f t="shared" ca="1" si="22"/>
        <v/>
      </c>
      <c r="K89" s="32" t="str">
        <f t="shared" ca="1" si="23"/>
        <v/>
      </c>
      <c r="L89" s="32" t="str">
        <f ca="1">IF(B89,MIN(Parámetros!$B$5-D89,-Parámetros!$B$12*LN(1-RAND())),"")</f>
        <v/>
      </c>
      <c r="M89" s="32" t="str">
        <f t="shared" ca="1" si="24"/>
        <v/>
      </c>
      <c r="N89" s="22" t="str">
        <f t="shared" ca="1" si="25"/>
        <v>-</v>
      </c>
      <c r="O89" s="22" t="str">
        <f ca="1">IF(E89="INTERVENCIÓN",IF(N89&gt;=Parámetros!$B$7,"SÍ","NO"),"-")</f>
        <v>-</v>
      </c>
      <c r="P89" s="23" t="str">
        <f ca="1">IF(E89="INTERVENCIÓN",IF(N89&gt;=Parámetros!$B$7,CHOOSE(RANDBETWEEN(1,2),"APROBADO","NO APROBADO"),"NO APROBADA - Sin quórum"),"-")</f>
        <v>-</v>
      </c>
    </row>
    <row r="90" spans="1:16" ht="15" customHeight="1" x14ac:dyDescent="0.45">
      <c r="A90" s="23" t="str">
        <f t="shared" ca="1" si="17"/>
        <v/>
      </c>
      <c r="B90" s="23">
        <f ca="1">IF(AND(ISNUMBER(D89),D89&lt;Parámetros!$B$5,ISNUMBER(K89),K89&lt;Parámetros!$B$5,A89&lt;MIN(Parámetros!$B$4,Parámetros!$B$10)),1,0)</f>
        <v>0</v>
      </c>
      <c r="C90" s="33" t="str">
        <f ca="1">IF(B90,-Parámetros!$B$11*LN(1-RAND()),"")</f>
        <v/>
      </c>
      <c r="D90" s="33" t="str">
        <f ca="1">IF(B90,MIN(D89+C90,Parámetros!$B$5),"")</f>
        <v/>
      </c>
      <c r="E90" s="23" t="str">
        <f t="shared" ca="1" si="18"/>
        <v/>
      </c>
      <c r="F90" s="33" t="str">
        <f ca="1">IF(B90,ABS(IF(E90="INTERVENCIÓN",NORMINV(RAND(),Parámetros!$B$13,Parámetros!$B$14),0)),"")</f>
        <v/>
      </c>
      <c r="G90" s="33" t="str">
        <f t="shared" ca="1" si="19"/>
        <v/>
      </c>
      <c r="H90" s="33" t="str">
        <f t="shared" ca="1" si="20"/>
        <v/>
      </c>
      <c r="I90" s="33" t="str">
        <f t="shared" ca="1" si="21"/>
        <v/>
      </c>
      <c r="J90" s="23" t="str">
        <f t="shared" ca="1" si="22"/>
        <v/>
      </c>
      <c r="K90" s="33" t="str">
        <f t="shared" ca="1" si="23"/>
        <v/>
      </c>
      <c r="L90" s="33" t="str">
        <f ca="1">IF(B90,MIN(Parámetros!$B$5-D90,-Parámetros!$B$12*LN(1-RAND())),"")</f>
        <v/>
      </c>
      <c r="M90" s="33" t="str">
        <f t="shared" ca="1" si="24"/>
        <v/>
      </c>
      <c r="N90" s="22" t="str">
        <f t="shared" ca="1" si="25"/>
        <v>-</v>
      </c>
      <c r="O90" s="22" t="str">
        <f ca="1">IF(E90="INTERVENCIÓN",IF(N90&gt;=Parámetros!$B$7,"SÍ","NO"),"-")</f>
        <v>-</v>
      </c>
      <c r="P90" s="23" t="str">
        <f ca="1">IF(E90="INTERVENCIÓN",IF(N90&gt;=Parámetros!$B$7,CHOOSE(RANDBETWEEN(1,2),"APROBADO","NO APROBADO"),"NO APROBADA - Sin quórum"),"-")</f>
        <v>-</v>
      </c>
    </row>
    <row r="91" spans="1:16" ht="15" customHeight="1" x14ac:dyDescent="0.45">
      <c r="A91" s="22" t="str">
        <f t="shared" ca="1" si="17"/>
        <v/>
      </c>
      <c r="B91" s="22">
        <f ca="1">IF(AND(ISNUMBER(D90),D90&lt;Parámetros!$B$5,ISNUMBER(K90),K90&lt;Parámetros!$B$5,A90&lt;MIN(Parámetros!$B$4,Parámetros!$B$10)),1,0)</f>
        <v>0</v>
      </c>
      <c r="C91" s="32" t="str">
        <f ca="1">IF(B91,-Parámetros!$B$11*LN(1-RAND()),"")</f>
        <v/>
      </c>
      <c r="D91" s="32" t="str">
        <f ca="1">IF(B91,MIN(D90+C91,Parámetros!$B$5),"")</f>
        <v/>
      </c>
      <c r="E91" s="22" t="str">
        <f t="shared" ca="1" si="18"/>
        <v/>
      </c>
      <c r="F91" s="32" t="str">
        <f ca="1">IF(B91,ABS(IF(E91="INTERVENCIÓN",NORMINV(RAND(),Parámetros!$B$13,Parámetros!$B$14),0)),"")</f>
        <v/>
      </c>
      <c r="G91" s="32" t="str">
        <f t="shared" ca="1" si="19"/>
        <v/>
      </c>
      <c r="H91" s="32" t="str">
        <f t="shared" ca="1" si="20"/>
        <v/>
      </c>
      <c r="I91" s="32" t="str">
        <f t="shared" ca="1" si="21"/>
        <v/>
      </c>
      <c r="J91" s="22" t="str">
        <f t="shared" ca="1" si="22"/>
        <v/>
      </c>
      <c r="K91" s="32" t="str">
        <f t="shared" ca="1" si="23"/>
        <v/>
      </c>
      <c r="L91" s="32" t="str">
        <f ca="1">IF(B91,MIN(Parámetros!$B$5-D91,-Parámetros!$B$12*LN(1-RAND())),"")</f>
        <v/>
      </c>
      <c r="M91" s="32" t="str">
        <f t="shared" ca="1" si="24"/>
        <v/>
      </c>
      <c r="N91" s="22" t="str">
        <f t="shared" ca="1" si="25"/>
        <v>-</v>
      </c>
      <c r="O91" s="22" t="str">
        <f ca="1">IF(E91="INTERVENCIÓN",IF(N91&gt;=Parámetros!$B$7,"SÍ","NO"),"-")</f>
        <v>-</v>
      </c>
      <c r="P91" s="23" t="str">
        <f ca="1">IF(E91="INTERVENCIÓN",IF(N91&gt;=Parámetros!$B$7,CHOOSE(RANDBETWEEN(1,2),"APROBADO","NO APROBADO"),"NO APROBADA - Sin quórum"),"-")</f>
        <v>-</v>
      </c>
    </row>
    <row r="92" spans="1:16" ht="15" customHeight="1" x14ac:dyDescent="0.45">
      <c r="A92" s="23" t="str">
        <f t="shared" ca="1" si="17"/>
        <v/>
      </c>
      <c r="B92" s="23">
        <f ca="1">IF(AND(ISNUMBER(D91),D91&lt;Parámetros!$B$5,ISNUMBER(K91),K91&lt;Parámetros!$B$5,A91&lt;MIN(Parámetros!$B$4,Parámetros!$B$10)),1,0)</f>
        <v>0</v>
      </c>
      <c r="C92" s="33" t="str">
        <f ca="1">IF(B92,-Parámetros!$B$11*LN(1-RAND()),"")</f>
        <v/>
      </c>
      <c r="D92" s="33" t="str">
        <f ca="1">IF(B92,MIN(D91+C92,Parámetros!$B$5),"")</f>
        <v/>
      </c>
      <c r="E92" s="23" t="str">
        <f t="shared" ca="1" si="18"/>
        <v/>
      </c>
      <c r="F92" s="33" t="str">
        <f ca="1">IF(B92,ABS(IF(E92="INTERVENCIÓN",NORMINV(RAND(),Parámetros!$B$13,Parámetros!$B$14),0)),"")</f>
        <v/>
      </c>
      <c r="G92" s="33" t="str">
        <f t="shared" ca="1" si="19"/>
        <v/>
      </c>
      <c r="H92" s="33" t="str">
        <f t="shared" ca="1" si="20"/>
        <v/>
      </c>
      <c r="I92" s="33" t="str">
        <f t="shared" ca="1" si="21"/>
        <v/>
      </c>
      <c r="J92" s="23" t="str">
        <f t="shared" ca="1" si="22"/>
        <v/>
      </c>
      <c r="K92" s="33" t="str">
        <f t="shared" ca="1" si="23"/>
        <v/>
      </c>
      <c r="L92" s="33" t="str">
        <f ca="1">IF(B92,MIN(Parámetros!$B$5-D92,-Parámetros!$B$12*LN(1-RAND())),"")</f>
        <v/>
      </c>
      <c r="M92" s="33" t="str">
        <f t="shared" ca="1" si="24"/>
        <v/>
      </c>
      <c r="N92" s="22" t="str">
        <f t="shared" ca="1" si="25"/>
        <v>-</v>
      </c>
      <c r="O92" s="22" t="str">
        <f ca="1">IF(E92="INTERVENCIÓN",IF(N92&gt;=Parámetros!$B$7,"SÍ","NO"),"-")</f>
        <v>-</v>
      </c>
      <c r="P92" s="23" t="str">
        <f ca="1">IF(E92="INTERVENCIÓN",IF(N92&gt;=Parámetros!$B$7,CHOOSE(RANDBETWEEN(1,2),"APROBADO","NO APROBADO"),"NO APROBADA - Sin quórum"),"-")</f>
        <v>-</v>
      </c>
    </row>
    <row r="93" spans="1:16" ht="15" customHeight="1" x14ac:dyDescent="0.45">
      <c r="A93" s="22" t="str">
        <f t="shared" ca="1" si="17"/>
        <v/>
      </c>
      <c r="B93" s="22">
        <f ca="1">IF(AND(ISNUMBER(D92),D92&lt;Parámetros!$B$5,ISNUMBER(K92),K92&lt;Parámetros!$B$5,A92&lt;MIN(Parámetros!$B$4,Parámetros!$B$10)),1,0)</f>
        <v>0</v>
      </c>
      <c r="C93" s="32" t="str">
        <f ca="1">IF(B93,-Parámetros!$B$11*LN(1-RAND()),"")</f>
        <v/>
      </c>
      <c r="D93" s="32" t="str">
        <f ca="1">IF(B93,MIN(D92+C93,Parámetros!$B$5),"")</f>
        <v/>
      </c>
      <c r="E93" s="22" t="str">
        <f t="shared" ca="1" si="18"/>
        <v/>
      </c>
      <c r="F93" s="32" t="str">
        <f ca="1">IF(B93,ABS(IF(E93="INTERVENCIÓN",NORMINV(RAND(),Parámetros!$B$13,Parámetros!$B$14),0)),"")</f>
        <v/>
      </c>
      <c r="G93" s="32" t="str">
        <f t="shared" ca="1" si="19"/>
        <v/>
      </c>
      <c r="H93" s="32" t="str">
        <f t="shared" ca="1" si="20"/>
        <v/>
      </c>
      <c r="I93" s="32" t="str">
        <f t="shared" ca="1" si="21"/>
        <v/>
      </c>
      <c r="J93" s="22" t="str">
        <f t="shared" ca="1" si="22"/>
        <v/>
      </c>
      <c r="K93" s="32" t="str">
        <f t="shared" ca="1" si="23"/>
        <v/>
      </c>
      <c r="L93" s="32" t="str">
        <f ca="1">IF(B93,MIN(Parámetros!$B$5-D93,-Parámetros!$B$12*LN(1-RAND())),"")</f>
        <v/>
      </c>
      <c r="M93" s="32" t="str">
        <f t="shared" ca="1" si="24"/>
        <v/>
      </c>
      <c r="N93" s="22" t="str">
        <f t="shared" ca="1" si="25"/>
        <v>-</v>
      </c>
      <c r="O93" s="22" t="str">
        <f ca="1">IF(E93="INTERVENCIÓN",IF(N93&gt;=Parámetros!$B$7,"SÍ","NO"),"-")</f>
        <v>-</v>
      </c>
      <c r="P93" s="23" t="str">
        <f ca="1">IF(E93="INTERVENCIÓN",IF(N93&gt;=Parámetros!$B$7,CHOOSE(RANDBETWEEN(1,2),"APROBADO","NO APROBADO"),"NO APROBADA - Sin quórum"),"-")</f>
        <v>-</v>
      </c>
    </row>
    <row r="94" spans="1:16" ht="15" customHeight="1" x14ac:dyDescent="0.45">
      <c r="A94" s="23" t="str">
        <f t="shared" ca="1" si="17"/>
        <v/>
      </c>
      <c r="B94" s="23">
        <f ca="1">IF(AND(ISNUMBER(D93),D93&lt;Parámetros!$B$5,ISNUMBER(K93),K93&lt;Parámetros!$B$5,A93&lt;MIN(Parámetros!$B$4,Parámetros!$B$10)),1,0)</f>
        <v>0</v>
      </c>
      <c r="C94" s="33" t="str">
        <f ca="1">IF(B94,-Parámetros!$B$11*LN(1-RAND()),"")</f>
        <v/>
      </c>
      <c r="D94" s="33" t="str">
        <f ca="1">IF(B94,MIN(D93+C94,Parámetros!$B$5),"")</f>
        <v/>
      </c>
      <c r="E94" s="23" t="str">
        <f t="shared" ca="1" si="18"/>
        <v/>
      </c>
      <c r="F94" s="33" t="str">
        <f ca="1">IF(B94,ABS(IF(E94="INTERVENCIÓN",NORMINV(RAND(),Parámetros!$B$13,Parámetros!$B$14),0)),"")</f>
        <v/>
      </c>
      <c r="G94" s="33" t="str">
        <f t="shared" ca="1" si="19"/>
        <v/>
      </c>
      <c r="H94" s="33" t="str">
        <f t="shared" ca="1" si="20"/>
        <v/>
      </c>
      <c r="I94" s="33" t="str">
        <f t="shared" ca="1" si="21"/>
        <v/>
      </c>
      <c r="J94" s="23" t="str">
        <f t="shared" ca="1" si="22"/>
        <v/>
      </c>
      <c r="K94" s="33" t="str">
        <f t="shared" ca="1" si="23"/>
        <v/>
      </c>
      <c r="L94" s="33" t="str">
        <f ca="1">IF(B94,MIN(Parámetros!$B$5-D94,-Parámetros!$B$12*LN(1-RAND())),"")</f>
        <v/>
      </c>
      <c r="M94" s="33" t="str">
        <f t="shared" ca="1" si="24"/>
        <v/>
      </c>
      <c r="N94" s="22" t="str">
        <f t="shared" ca="1" si="25"/>
        <v>-</v>
      </c>
      <c r="O94" s="22" t="str">
        <f ca="1">IF(E94="INTERVENCIÓN",IF(N94&gt;=Parámetros!$B$7,"SÍ","NO"),"-")</f>
        <v>-</v>
      </c>
      <c r="P94" s="23" t="str">
        <f ca="1">IF(E94="INTERVENCIÓN",IF(N94&gt;=Parámetros!$B$7,CHOOSE(RANDBETWEEN(1,2),"APROBADO","NO APROBADO"),"NO APROBADA - Sin quórum"),"-")</f>
        <v>-</v>
      </c>
    </row>
    <row r="95" spans="1:16" ht="15" customHeight="1" x14ac:dyDescent="0.45">
      <c r="A95" s="22" t="str">
        <f t="shared" ca="1" si="17"/>
        <v/>
      </c>
      <c r="B95" s="22">
        <f ca="1">IF(AND(ISNUMBER(D94),D94&lt;Parámetros!$B$5,ISNUMBER(K94),K94&lt;Parámetros!$B$5,A94&lt;MIN(Parámetros!$B$4,Parámetros!$B$10)),1,0)</f>
        <v>0</v>
      </c>
      <c r="C95" s="32" t="str">
        <f ca="1">IF(B95,-Parámetros!$B$11*LN(1-RAND()),"")</f>
        <v/>
      </c>
      <c r="D95" s="32" t="str">
        <f ca="1">IF(B95,MIN(D94+C95,Parámetros!$B$5),"")</f>
        <v/>
      </c>
      <c r="E95" s="22" t="str">
        <f t="shared" ca="1" si="18"/>
        <v/>
      </c>
      <c r="F95" s="32" t="str">
        <f ca="1">IF(B95,ABS(IF(E95="INTERVENCIÓN",NORMINV(RAND(),Parámetros!$B$13,Parámetros!$B$14),0)),"")</f>
        <v/>
      </c>
      <c r="G95" s="32" t="str">
        <f t="shared" ca="1" si="19"/>
        <v/>
      </c>
      <c r="H95" s="32" t="str">
        <f t="shared" ca="1" si="20"/>
        <v/>
      </c>
      <c r="I95" s="32" t="str">
        <f t="shared" ca="1" si="21"/>
        <v/>
      </c>
      <c r="J95" s="22" t="str">
        <f t="shared" ca="1" si="22"/>
        <v/>
      </c>
      <c r="K95" s="32" t="str">
        <f t="shared" ca="1" si="23"/>
        <v/>
      </c>
      <c r="L95" s="32" t="str">
        <f ca="1">IF(B95,MIN(Parámetros!$B$5-D95,-Parámetros!$B$12*LN(1-RAND())),"")</f>
        <v/>
      </c>
      <c r="M95" s="32" t="str">
        <f t="shared" ca="1" si="24"/>
        <v/>
      </c>
      <c r="N95" s="22" t="str">
        <f t="shared" ca="1" si="25"/>
        <v>-</v>
      </c>
      <c r="O95" s="22" t="str">
        <f ca="1">IF(E95="INTERVENCIÓN",IF(N95&gt;=Parámetros!$B$7,"SÍ","NO"),"-")</f>
        <v>-</v>
      </c>
      <c r="P95" s="23" t="str">
        <f ca="1">IF(E95="INTERVENCIÓN",IF(N95&gt;=Parámetros!$B$7,CHOOSE(RANDBETWEEN(1,2),"APROBADO","NO APROBADO"),"NO APROBADA - Sin quórum"),"-")</f>
        <v>-</v>
      </c>
    </row>
    <row r="96" spans="1:16" ht="15" customHeight="1" x14ac:dyDescent="0.45">
      <c r="A96" s="23" t="str">
        <f t="shared" ca="1" si="17"/>
        <v/>
      </c>
      <c r="B96" s="23">
        <f ca="1">IF(AND(ISNUMBER(D95),D95&lt;Parámetros!$B$5,ISNUMBER(K95),K95&lt;Parámetros!$B$5,A95&lt;MIN(Parámetros!$B$4,Parámetros!$B$10)),1,0)</f>
        <v>0</v>
      </c>
      <c r="C96" s="33" t="str">
        <f ca="1">IF(B96,-Parámetros!$B$11*LN(1-RAND()),"")</f>
        <v/>
      </c>
      <c r="D96" s="33" t="str">
        <f ca="1">IF(B96,MIN(D95+C96,Parámetros!$B$5),"")</f>
        <v/>
      </c>
      <c r="E96" s="23" t="str">
        <f t="shared" ca="1" si="18"/>
        <v/>
      </c>
      <c r="F96" s="33" t="str">
        <f ca="1">IF(B96,ABS(IF(E96="INTERVENCIÓN",NORMINV(RAND(),Parámetros!$B$13,Parámetros!$B$14),0)),"")</f>
        <v/>
      </c>
      <c r="G96" s="33" t="str">
        <f t="shared" ca="1" si="19"/>
        <v/>
      </c>
      <c r="H96" s="33" t="str">
        <f t="shared" ca="1" si="20"/>
        <v/>
      </c>
      <c r="I96" s="33" t="str">
        <f t="shared" ca="1" si="21"/>
        <v/>
      </c>
      <c r="J96" s="23" t="str">
        <f t="shared" ca="1" si="22"/>
        <v/>
      </c>
      <c r="K96" s="33" t="str">
        <f t="shared" ca="1" si="23"/>
        <v/>
      </c>
      <c r="L96" s="33" t="str">
        <f ca="1">IF(B96,MIN(Parámetros!$B$5-D96,-Parámetros!$B$12*LN(1-RAND())),"")</f>
        <v/>
      </c>
      <c r="M96" s="33" t="str">
        <f t="shared" ca="1" si="24"/>
        <v/>
      </c>
      <c r="N96" s="22" t="str">
        <f t="shared" ca="1" si="25"/>
        <v>-</v>
      </c>
      <c r="O96" s="22" t="str">
        <f ca="1">IF(E96="INTERVENCIÓN",IF(N96&gt;=Parámetros!$B$7,"SÍ","NO"),"-")</f>
        <v>-</v>
      </c>
      <c r="P96" s="23" t="str">
        <f ca="1">IF(E96="INTERVENCIÓN",IF(N96&gt;=Parámetros!$B$7,CHOOSE(RANDBETWEEN(1,2),"APROBADO","NO APROBADO"),"NO APROBADA - Sin quórum"),"-")</f>
        <v>-</v>
      </c>
    </row>
    <row r="97" spans="1:16" ht="15" customHeight="1" x14ac:dyDescent="0.45">
      <c r="A97" s="22" t="str">
        <f t="shared" ca="1" si="17"/>
        <v/>
      </c>
      <c r="B97" s="22">
        <f ca="1">IF(AND(ISNUMBER(D96),D96&lt;Parámetros!$B$5,ISNUMBER(K96),K96&lt;Parámetros!$B$5,A96&lt;MIN(Parámetros!$B$4,Parámetros!$B$10)),1,0)</f>
        <v>0</v>
      </c>
      <c r="C97" s="32" t="str">
        <f ca="1">IF(B97,-Parámetros!$B$11*LN(1-RAND()),"")</f>
        <v/>
      </c>
      <c r="D97" s="32" t="str">
        <f ca="1">IF(B97,MIN(D96+C97,Parámetros!$B$5),"")</f>
        <v/>
      </c>
      <c r="E97" s="22" t="str">
        <f t="shared" ca="1" si="18"/>
        <v/>
      </c>
      <c r="F97" s="32" t="str">
        <f ca="1">IF(B97,ABS(IF(E97="INTERVENCIÓN",NORMINV(RAND(),Parámetros!$B$13,Parámetros!$B$14),0)),"")</f>
        <v/>
      </c>
      <c r="G97" s="32" t="str">
        <f t="shared" ca="1" si="19"/>
        <v/>
      </c>
      <c r="H97" s="32" t="str">
        <f t="shared" ca="1" si="20"/>
        <v/>
      </c>
      <c r="I97" s="32" t="str">
        <f t="shared" ca="1" si="21"/>
        <v/>
      </c>
      <c r="J97" s="22" t="str">
        <f t="shared" ca="1" si="22"/>
        <v/>
      </c>
      <c r="K97" s="32" t="str">
        <f t="shared" ca="1" si="23"/>
        <v/>
      </c>
      <c r="L97" s="32" t="str">
        <f ca="1">IF(B97,MIN(Parámetros!$B$5-D97,-Parámetros!$B$12*LN(1-RAND())),"")</f>
        <v/>
      </c>
      <c r="M97" s="32" t="str">
        <f t="shared" ca="1" si="24"/>
        <v/>
      </c>
      <c r="N97" s="22" t="str">
        <f t="shared" ca="1" si="25"/>
        <v>-</v>
      </c>
      <c r="O97" s="22" t="str">
        <f ca="1">IF(E97="INTERVENCIÓN",IF(N97&gt;=Parámetros!$B$7,"SÍ","NO"),"-")</f>
        <v>-</v>
      </c>
      <c r="P97" s="23" t="str">
        <f ca="1">IF(E97="INTERVENCIÓN",IF(N97&gt;=Parámetros!$B$7,CHOOSE(RANDBETWEEN(1,2),"APROBADO","NO APROBADO"),"NO APROBADA - Sin quórum"),"-")</f>
        <v>-</v>
      </c>
    </row>
    <row r="98" spans="1:16" ht="15" customHeight="1" x14ac:dyDescent="0.45">
      <c r="A98" s="23" t="str">
        <f t="shared" ca="1" si="17"/>
        <v/>
      </c>
      <c r="B98" s="23">
        <f ca="1">IF(AND(ISNUMBER(D97),D97&lt;Parámetros!$B$5,ISNUMBER(K97),K97&lt;Parámetros!$B$5,A97&lt;MIN(Parámetros!$B$4,Parámetros!$B$10)),1,0)</f>
        <v>0</v>
      </c>
      <c r="C98" s="33" t="str">
        <f ca="1">IF(B98,-Parámetros!$B$11*LN(1-RAND()),"")</f>
        <v/>
      </c>
      <c r="D98" s="33" t="str">
        <f ca="1">IF(B98,MIN(D97+C98,Parámetros!$B$5),"")</f>
        <v/>
      </c>
      <c r="E98" s="23" t="str">
        <f t="shared" ca="1" si="18"/>
        <v/>
      </c>
      <c r="F98" s="33" t="str">
        <f ca="1">IF(B98,ABS(IF(E98="INTERVENCIÓN",NORMINV(RAND(),Parámetros!$B$13,Parámetros!$B$14),0)),"")</f>
        <v/>
      </c>
      <c r="G98" s="33" t="str">
        <f t="shared" ca="1" si="19"/>
        <v/>
      </c>
      <c r="H98" s="33" t="str">
        <f t="shared" ca="1" si="20"/>
        <v/>
      </c>
      <c r="I98" s="33" t="str">
        <f t="shared" ca="1" si="21"/>
        <v/>
      </c>
      <c r="J98" s="23" t="str">
        <f t="shared" ca="1" si="22"/>
        <v/>
      </c>
      <c r="K98" s="33" t="str">
        <f t="shared" ca="1" si="23"/>
        <v/>
      </c>
      <c r="L98" s="33" t="str">
        <f ca="1">IF(B98,MIN(Parámetros!$B$5-D98,-Parámetros!$B$12*LN(1-RAND())),"")</f>
        <v/>
      </c>
      <c r="M98" s="33" t="str">
        <f t="shared" ca="1" si="24"/>
        <v/>
      </c>
      <c r="N98" s="22" t="str">
        <f t="shared" ca="1" si="25"/>
        <v>-</v>
      </c>
      <c r="O98" s="22" t="str">
        <f ca="1">IF(E98="INTERVENCIÓN",IF(N98&gt;=Parámetros!$B$7,"SÍ","NO"),"-")</f>
        <v>-</v>
      </c>
      <c r="P98" s="23" t="str">
        <f ca="1">IF(E98="INTERVENCIÓN",IF(N98&gt;=Parámetros!$B$7,CHOOSE(RANDBETWEEN(1,2),"APROBADO","NO APROBADO"),"NO APROBADA - Sin quórum"),"-")</f>
        <v>-</v>
      </c>
    </row>
    <row r="99" spans="1:16" ht="15" customHeight="1" x14ac:dyDescent="0.45">
      <c r="A99" s="22" t="str">
        <f t="shared" ca="1" si="17"/>
        <v/>
      </c>
      <c r="B99" s="22">
        <f ca="1">IF(AND(ISNUMBER(D98),D98&lt;Parámetros!$B$5,ISNUMBER(K98),K98&lt;Parámetros!$B$5,A98&lt;MIN(Parámetros!$B$4,Parámetros!$B$10)),1,0)</f>
        <v>0</v>
      </c>
      <c r="C99" s="32" t="str">
        <f ca="1">IF(B99,-Parámetros!$B$11*LN(1-RAND()),"")</f>
        <v/>
      </c>
      <c r="D99" s="32" t="str">
        <f ca="1">IF(B99,MIN(D98+C99,Parámetros!$B$5),"")</f>
        <v/>
      </c>
      <c r="E99" s="22" t="str">
        <f t="shared" ca="1" si="18"/>
        <v/>
      </c>
      <c r="F99" s="32" t="str">
        <f ca="1">IF(B99,ABS(IF(E99="INTERVENCIÓN",NORMINV(RAND(),Parámetros!$B$13,Parámetros!$B$14),0)),"")</f>
        <v/>
      </c>
      <c r="G99" s="32" t="str">
        <f t="shared" ca="1" si="19"/>
        <v/>
      </c>
      <c r="H99" s="32" t="str">
        <f t="shared" ca="1" si="20"/>
        <v/>
      </c>
      <c r="I99" s="32" t="str">
        <f t="shared" ca="1" si="21"/>
        <v/>
      </c>
      <c r="J99" s="22" t="str">
        <f t="shared" ca="1" si="22"/>
        <v/>
      </c>
      <c r="K99" s="32" t="str">
        <f t="shared" ca="1" si="23"/>
        <v/>
      </c>
      <c r="L99" s="32" t="str">
        <f ca="1">IF(B99,MIN(Parámetros!$B$5-D99,-Parámetros!$B$12*LN(1-RAND())),"")</f>
        <v/>
      </c>
      <c r="M99" s="32" t="str">
        <f t="shared" ca="1" si="24"/>
        <v/>
      </c>
      <c r="N99" s="22" t="str">
        <f t="shared" ca="1" si="25"/>
        <v>-</v>
      </c>
      <c r="O99" s="22" t="str">
        <f ca="1">IF(E99="INTERVENCIÓN",IF(N99&gt;=Parámetros!$B$7,"SÍ","NO"),"-")</f>
        <v>-</v>
      </c>
      <c r="P99" s="23" t="str">
        <f ca="1">IF(E99="INTERVENCIÓN",IF(N99&gt;=Parámetros!$B$7,CHOOSE(RANDBETWEEN(1,2),"APROBADO","NO APROBADO"),"NO APROBADA - Sin quórum"),"-")</f>
        <v>-</v>
      </c>
    </row>
    <row r="100" spans="1:16" ht="15" customHeight="1" x14ac:dyDescent="0.45">
      <c r="A100" s="23" t="str">
        <f t="shared" ref="A100:A102" ca="1" si="26">IF(B100,A99+1,"")</f>
        <v/>
      </c>
      <c r="B100" s="23">
        <f ca="1">IF(AND(ISNUMBER(D99),D99&lt;Parámetros!$B$5,ISNUMBER(K99),K99&lt;Parámetros!$B$5,A99&lt;MIN(Parámetros!$B$4,Parámetros!$B$10)),1,0)</f>
        <v>0</v>
      </c>
      <c r="C100" s="33" t="str">
        <f ca="1">IF(B100,-Parámetros!$B$11*LN(1-RAND()),"")</f>
        <v/>
      </c>
      <c r="D100" s="33" t="str">
        <f ca="1">IF(B100,MIN(D99+C100,Parámetros!$B$5),"")</f>
        <v/>
      </c>
      <c r="E100" s="23" t="str">
        <f t="shared" ca="1" si="18"/>
        <v/>
      </c>
      <c r="F100" s="33" t="str">
        <f ca="1">IF(B100,ABS(IF(E100="INTERVENCIÓN",NORMINV(RAND(),Parámetros!$B$13,Parámetros!$B$14),0)),"")</f>
        <v/>
      </c>
      <c r="G100" s="33" t="str">
        <f t="shared" ca="1" si="19"/>
        <v/>
      </c>
      <c r="H100" s="33" t="str">
        <f t="shared" ref="H100:H102" ca="1" si="27">IF(B100,IF(G100="Sin intervención","Sin intervención",F100+G100),"")</f>
        <v/>
      </c>
      <c r="I100" s="33" t="str">
        <f t="shared" ref="I100:I102" ca="1" si="28">IF(B100,IF(E100="VOTACIÓN",I99,H100),"")</f>
        <v/>
      </c>
      <c r="J100" s="23" t="str">
        <f t="shared" ca="1" si="22"/>
        <v/>
      </c>
      <c r="K100" s="33" t="str">
        <f t="shared" ref="K100:K102" ca="1" si="29">IF(B100,IF(E100="VOTACIÓN",K99,I100+J100),"")</f>
        <v/>
      </c>
      <c r="L100" s="33" t="str">
        <f ca="1">IF(B100,MIN(Parámetros!$B$5-D100,-Parámetros!$B$12*LN(1-RAND())),"")</f>
        <v/>
      </c>
      <c r="M100" s="33" t="str">
        <f t="shared" ref="M100:M102" ca="1" si="30">IF(B100,D100+L100,"")</f>
        <v/>
      </c>
      <c r="N100" s="22" t="str">
        <f t="shared" ca="1" si="25"/>
        <v>-</v>
      </c>
      <c r="O100" s="22" t="str">
        <f ca="1">IF(E100="INTERVENCIÓN",IF(N100&gt;=Parámetros!$B$7,"SÍ","NO"),"-")</f>
        <v>-</v>
      </c>
      <c r="P100" s="23" t="str">
        <f ca="1">IF(E100="INTERVENCIÓN",IF(N100&gt;=Parámetros!$B$7,CHOOSE(RANDBETWEEN(1,2),"APROBADO","NO APROBADO"),"NO APROBADA - Sin quórum"),"-")</f>
        <v>-</v>
      </c>
    </row>
    <row r="101" spans="1:16" ht="15" customHeight="1" x14ac:dyDescent="0.45">
      <c r="A101" s="22" t="str">
        <f t="shared" ca="1" si="26"/>
        <v/>
      </c>
      <c r="B101" s="22">
        <f ca="1">IF(AND(ISNUMBER(D100),D100&lt;Parámetros!$B$5,ISNUMBER(K100),K100&lt;Parámetros!$B$5,A100&lt;MIN(Parámetros!$B$4,Parámetros!$B$10)),1,0)</f>
        <v>0</v>
      </c>
      <c r="C101" s="32" t="str">
        <f ca="1">IF(B101,-Parámetros!$B$11*LN(1-RAND()),"")</f>
        <v/>
      </c>
      <c r="D101" s="32" t="str">
        <f ca="1">IF(B101,MIN(D100+C101,Parámetros!$B$5),"")</f>
        <v/>
      </c>
      <c r="E101" s="22" t="str">
        <f t="shared" ca="1" si="18"/>
        <v/>
      </c>
      <c r="F101" s="32" t="str">
        <f ca="1">IF(B101,ABS(IF(E101="INTERVENCIÓN",NORMINV(RAND(),Parámetros!$B$13,Parámetros!$B$14),0)),"")</f>
        <v/>
      </c>
      <c r="G101" s="32" t="str">
        <f t="shared" ca="1" si="19"/>
        <v/>
      </c>
      <c r="H101" s="32" t="str">
        <f t="shared" ca="1" si="27"/>
        <v/>
      </c>
      <c r="I101" s="32" t="str">
        <f t="shared" ca="1" si="28"/>
        <v/>
      </c>
      <c r="J101" s="22" t="str">
        <f t="shared" ca="1" si="22"/>
        <v/>
      </c>
      <c r="K101" s="32" t="str">
        <f t="shared" ca="1" si="29"/>
        <v/>
      </c>
      <c r="L101" s="32" t="str">
        <f ca="1">IF(B101,MIN(Parámetros!$B$5-D101,-Parámetros!$B$12*LN(1-RAND())),"")</f>
        <v/>
      </c>
      <c r="M101" s="32" t="str">
        <f t="shared" ca="1" si="30"/>
        <v/>
      </c>
      <c r="N101" s="22" t="str">
        <f t="shared" ca="1" si="25"/>
        <v>-</v>
      </c>
      <c r="O101" s="22" t="str">
        <f ca="1">IF(E101="INTERVENCIÓN",IF(N101&gt;=Parámetros!$B$7,"SÍ","NO"),"-")</f>
        <v>-</v>
      </c>
      <c r="P101" s="23" t="str">
        <f ca="1">IF(E101="INTERVENCIÓN",IF(N101&gt;=Parámetros!$B$7,CHOOSE(RANDBETWEEN(1,2),"APROBADO","NO APROBADO"),"NO APROBADA - Sin quórum"),"-")</f>
        <v>-</v>
      </c>
    </row>
    <row r="102" spans="1:16" ht="15" customHeight="1" x14ac:dyDescent="0.45">
      <c r="A102" s="23" t="str">
        <f t="shared" ca="1" si="26"/>
        <v/>
      </c>
      <c r="B102" s="23">
        <f ca="1">IF(AND(ISNUMBER(D101),D101&lt;Parámetros!$B$5,ISNUMBER(K101),K101&lt;Parámetros!$B$5,A101&lt;MIN(Parámetros!$B$4,Parámetros!$B$10)),1,0)</f>
        <v>0</v>
      </c>
      <c r="C102" s="33" t="str">
        <f ca="1">IF(B102,-Parámetros!$B$11*LN(1-RAND()),"")</f>
        <v/>
      </c>
      <c r="D102" s="33" t="str">
        <f ca="1">IF(B102,MIN(D101+C102,Parámetros!$B$5),"")</f>
        <v/>
      </c>
      <c r="E102" s="23" t="str">
        <f t="shared" ca="1" si="18"/>
        <v/>
      </c>
      <c r="F102" s="33" t="str">
        <f ca="1">IF(B102,ABS(IF(E102="INTERVENCIÓN",NORMINV(RAND(),Parámetros!$B$13,Parámetros!$B$14),0)),"")</f>
        <v/>
      </c>
      <c r="G102" s="33" t="str">
        <f t="shared" ca="1" si="19"/>
        <v/>
      </c>
      <c r="H102" s="33" t="str">
        <f t="shared" ca="1" si="27"/>
        <v/>
      </c>
      <c r="I102" s="33" t="str">
        <f t="shared" ca="1" si="28"/>
        <v/>
      </c>
      <c r="J102" s="23" t="str">
        <f t="shared" ca="1" si="22"/>
        <v/>
      </c>
      <c r="K102" s="33" t="str">
        <f t="shared" ca="1" si="29"/>
        <v/>
      </c>
      <c r="L102" s="33" t="str">
        <f ca="1">IF(B102,MIN(Parámetros!$B$5-D102,-Parámetros!$B$12*LN(1-RAND())),"")</f>
        <v/>
      </c>
      <c r="M102" s="33" t="str">
        <f t="shared" ca="1" si="30"/>
        <v/>
      </c>
      <c r="N102" s="22" t="str">
        <f t="shared" ca="1" si="25"/>
        <v>-</v>
      </c>
      <c r="O102" s="22" t="str">
        <f ca="1">IF(E102="INTERVENCIÓN",IF(N102&gt;=Parámetros!$B$7,"SÍ","NO"),"-")</f>
        <v>-</v>
      </c>
      <c r="P102" s="23" t="str">
        <f ca="1">IF(E102="INTERVENCIÓN",IF(N102&gt;=Parámetros!$B$7,CHOOSE(RANDBETWEEN(1,2),"APROBADO","NO APROBADO"),"NO APROBADA - Sin quórum"),"-")</f>
        <v>-</v>
      </c>
    </row>
    <row r="103" spans="1:16" x14ac:dyDescent="0.45">
      <c r="A103" s="23" t="str">
        <f t="shared" ref="A103:A166" ca="1" si="31">IF(B103,A102+1,"")</f>
        <v/>
      </c>
      <c r="B103" s="23">
        <f ca="1">IF(AND(ISNUMBER(D102),D102&lt;Parámetros!$B$5,ISNUMBER(K102),K102&lt;Parámetros!$B$5,A102&lt;MIN(Parámetros!$B$4,Parámetros!$B$10)),1,0)</f>
        <v>0</v>
      </c>
      <c r="C103" s="33" t="str">
        <f ca="1">IF(B103,-Parámetros!$B$11*LN(1-RAND()),"")</f>
        <v/>
      </c>
      <c r="D103" s="33" t="str">
        <f ca="1">IF(B103,MIN(D102+C103,Parámetros!$B$5),"")</f>
        <v/>
      </c>
      <c r="E103" s="23" t="str">
        <f t="shared" ref="E103:E166" ca="1" si="32">IF(B103,CHOOSE(RANDBETWEEN(1,2),"INTERVENCIÓN","VOTACIÓN"),"")</f>
        <v/>
      </c>
      <c r="F103" s="33" t="str">
        <f ca="1">IF(B103,ABS(IF(E103="INTERVENCIÓN",NORMINV(RAND(),Parámetros!$B$13,Parámetros!$B$14),0)),"")</f>
        <v/>
      </c>
      <c r="G103" s="33" t="str">
        <f t="shared" ref="G103:G166" ca="1" si="33">IF(B103,IF(E103="INTERVENCIÓN",K102,"Sin intervención"),"")</f>
        <v/>
      </c>
      <c r="H103" s="33" t="str">
        <f t="shared" ref="H103:H166" ca="1" si="34">IF(B103,IF(G103="Sin intervención","Sin intervención",F103+G103),"")</f>
        <v/>
      </c>
      <c r="I103" s="33" t="str">
        <f t="shared" ref="I103:I166" ca="1" si="35">IF(B103,IF(E103="VOTACIÓN",I102,H103),"")</f>
        <v/>
      </c>
      <c r="J103" s="23" t="str">
        <f t="shared" ref="J103:J166" ca="1" si="36">IF(B103,IF(E103="INTERVENCIÓN",RANDBETWEEN(2,5),0),"")</f>
        <v/>
      </c>
      <c r="K103" s="33" t="str">
        <f t="shared" ref="K103:K166" ca="1" si="37">IF(B103,IF(E103="VOTACIÓN",K102,I103+J103),"")</f>
        <v/>
      </c>
      <c r="L103" s="33" t="str">
        <f ca="1">IF(B103,MIN(Parámetros!$B$5-D103,-Parámetros!$B$12*LN(1-RAND())),"")</f>
        <v/>
      </c>
      <c r="M103" s="33" t="str">
        <f t="shared" ref="M103:M166" ca="1" si="38">IF(B103,D103+L103,"")</f>
        <v/>
      </c>
      <c r="N103" s="22" t="str">
        <f t="shared" ca="1" si="25"/>
        <v>-</v>
      </c>
      <c r="O103" s="22" t="str">
        <f ca="1">IF(E103="INTERVENCIÓN",IF(N103&gt;=Parámetros!$B$7,"SÍ","NO"),"-")</f>
        <v>-</v>
      </c>
      <c r="P103" s="23" t="str">
        <f ca="1">IF(E103="INTERVENCIÓN",IF(N103&gt;=Parámetros!$B$7,CHOOSE(RANDBETWEEN(1,2),"APROBADO","NO APROBADO"),"NO APROBADA - Sin quórum"),"-")</f>
        <v>-</v>
      </c>
    </row>
    <row r="104" spans="1:16" x14ac:dyDescent="0.45">
      <c r="A104" s="23" t="str">
        <f t="shared" ca="1" si="31"/>
        <v/>
      </c>
      <c r="B104" s="23">
        <f ca="1">IF(AND(ISNUMBER(D103),D103&lt;Parámetros!$B$5,ISNUMBER(K103),K103&lt;Parámetros!$B$5,A103&lt;MIN(Parámetros!$B$4,Parámetros!$B$10)),1,0)</f>
        <v>0</v>
      </c>
      <c r="C104" s="33" t="str">
        <f ca="1">IF(B104,-Parámetros!$B$11*LN(1-RAND()),"")</f>
        <v/>
      </c>
      <c r="D104" s="33" t="str">
        <f ca="1">IF(B104,MIN(D103+C104,Parámetros!$B$5),"")</f>
        <v/>
      </c>
      <c r="E104" s="23" t="str">
        <f t="shared" ca="1" si="32"/>
        <v/>
      </c>
      <c r="F104" s="33" t="str">
        <f ca="1">IF(B104,ABS(IF(E104="INTERVENCIÓN",NORMINV(RAND(),Parámetros!$B$13,Parámetros!$B$14),0)),"")</f>
        <v/>
      </c>
      <c r="G104" s="33" t="str">
        <f t="shared" ca="1" si="33"/>
        <v/>
      </c>
      <c r="H104" s="33" t="str">
        <f t="shared" ca="1" si="34"/>
        <v/>
      </c>
      <c r="I104" s="33" t="str">
        <f t="shared" ca="1" si="35"/>
        <v/>
      </c>
      <c r="J104" s="23" t="str">
        <f t="shared" ca="1" si="36"/>
        <v/>
      </c>
      <c r="K104" s="33" t="str">
        <f t="shared" ca="1" si="37"/>
        <v/>
      </c>
      <c r="L104" s="33" t="str">
        <f ca="1">IF(B104,MIN(Parámetros!$B$5-D104,-Parámetros!$B$12*LN(1-RAND())),"")</f>
        <v/>
      </c>
      <c r="M104" s="33" t="str">
        <f t="shared" ca="1" si="38"/>
        <v/>
      </c>
      <c r="N104" s="22" t="str">
        <f t="shared" ca="1" si="25"/>
        <v>-</v>
      </c>
      <c r="O104" s="22" t="str">
        <f ca="1">IF(E104="INTERVENCIÓN",IF(N104&gt;=Parámetros!$B$7,"SÍ","NO"),"-")</f>
        <v>-</v>
      </c>
      <c r="P104" s="23" t="str">
        <f ca="1">IF(E104="INTERVENCIÓN",IF(N104&gt;=Parámetros!$B$7,CHOOSE(RANDBETWEEN(1,2),"APROBADO","NO APROBADO"),"NO APROBADA - Sin quórum"),"-")</f>
        <v>-</v>
      </c>
    </row>
    <row r="105" spans="1:16" x14ac:dyDescent="0.45">
      <c r="A105" s="23" t="str">
        <f t="shared" ca="1" si="31"/>
        <v/>
      </c>
      <c r="B105" s="23">
        <f ca="1">IF(AND(ISNUMBER(D104),D104&lt;Parámetros!$B$5,ISNUMBER(K104),K104&lt;Parámetros!$B$5,A104&lt;MIN(Parámetros!$B$4,Parámetros!$B$10)),1,0)</f>
        <v>0</v>
      </c>
      <c r="C105" s="33" t="str">
        <f ca="1">IF(B105,-Parámetros!$B$11*LN(1-RAND()),"")</f>
        <v/>
      </c>
      <c r="D105" s="33" t="str">
        <f ca="1">IF(B105,MIN(D104+C105,Parámetros!$B$5),"")</f>
        <v/>
      </c>
      <c r="E105" s="23" t="str">
        <f t="shared" ca="1" si="32"/>
        <v/>
      </c>
      <c r="F105" s="33" t="str">
        <f ca="1">IF(B105,ABS(IF(E105="INTERVENCIÓN",NORMINV(RAND(),Parámetros!$B$13,Parámetros!$B$14),0)),"")</f>
        <v/>
      </c>
      <c r="G105" s="33" t="str">
        <f t="shared" ca="1" si="33"/>
        <v/>
      </c>
      <c r="H105" s="33" t="str">
        <f t="shared" ca="1" si="34"/>
        <v/>
      </c>
      <c r="I105" s="33" t="str">
        <f t="shared" ca="1" si="35"/>
        <v/>
      </c>
      <c r="J105" s="23" t="str">
        <f t="shared" ca="1" si="36"/>
        <v/>
      </c>
      <c r="K105" s="33" t="str">
        <f t="shared" ca="1" si="37"/>
        <v/>
      </c>
      <c r="L105" s="33" t="str">
        <f ca="1">IF(B105,MIN(Parámetros!$B$5-D105,-Parámetros!$B$12*LN(1-RAND())),"")</f>
        <v/>
      </c>
      <c r="M105" s="33" t="str">
        <f t="shared" ca="1" si="38"/>
        <v/>
      </c>
      <c r="N105" s="22" t="str">
        <f t="shared" ca="1" si="25"/>
        <v>-</v>
      </c>
      <c r="O105" s="22" t="str">
        <f ca="1">IF(E105="INTERVENCIÓN",IF(N105&gt;=Parámetros!$B$7,"SÍ","NO"),"-")</f>
        <v>-</v>
      </c>
      <c r="P105" s="23" t="str">
        <f ca="1">IF(E105="INTERVENCIÓN",IF(N105&gt;=Parámetros!$B$7,CHOOSE(RANDBETWEEN(1,2),"APROBADO","NO APROBADO"),"NO APROBADA - Sin quórum"),"-")</f>
        <v>-</v>
      </c>
    </row>
    <row r="106" spans="1:16" x14ac:dyDescent="0.45">
      <c r="A106" s="23" t="str">
        <f t="shared" ca="1" si="31"/>
        <v/>
      </c>
      <c r="B106" s="23">
        <f ca="1">IF(AND(ISNUMBER(D105),D105&lt;Parámetros!$B$5,ISNUMBER(K105),K105&lt;Parámetros!$B$5,A105&lt;MIN(Parámetros!$B$4,Parámetros!$B$10)),1,0)</f>
        <v>0</v>
      </c>
      <c r="C106" s="33" t="str">
        <f ca="1">IF(B106,-Parámetros!$B$11*LN(1-RAND()),"")</f>
        <v/>
      </c>
      <c r="D106" s="33" t="str">
        <f ca="1">IF(B106,MIN(D105+C106,Parámetros!$B$5),"")</f>
        <v/>
      </c>
      <c r="E106" s="23" t="str">
        <f t="shared" ca="1" si="32"/>
        <v/>
      </c>
      <c r="F106" s="33" t="str">
        <f ca="1">IF(B106,ABS(IF(E106="INTERVENCIÓN",NORMINV(RAND(),Parámetros!$B$13,Parámetros!$B$14),0)),"")</f>
        <v/>
      </c>
      <c r="G106" s="33" t="str">
        <f t="shared" ca="1" si="33"/>
        <v/>
      </c>
      <c r="H106" s="33" t="str">
        <f t="shared" ca="1" si="34"/>
        <v/>
      </c>
      <c r="I106" s="33" t="str">
        <f t="shared" ca="1" si="35"/>
        <v/>
      </c>
      <c r="J106" s="23" t="str">
        <f t="shared" ca="1" si="36"/>
        <v/>
      </c>
      <c r="K106" s="33" t="str">
        <f t="shared" ca="1" si="37"/>
        <v/>
      </c>
      <c r="L106" s="33" t="str">
        <f ca="1">IF(B106,MIN(Parámetros!$B$5-D106,-Parámetros!$B$12*LN(1-RAND())),"")</f>
        <v/>
      </c>
      <c r="M106" s="33" t="str">
        <f t="shared" ca="1" si="38"/>
        <v/>
      </c>
      <c r="N106" s="22" t="str">
        <f t="shared" ca="1" si="25"/>
        <v>-</v>
      </c>
      <c r="O106" s="22" t="str">
        <f ca="1">IF(E106="INTERVENCIÓN",IF(N106&gt;=Parámetros!$B$7,"SÍ","NO"),"-")</f>
        <v>-</v>
      </c>
      <c r="P106" s="23" t="str">
        <f ca="1">IF(E106="INTERVENCIÓN",IF(N106&gt;=Parámetros!$B$7,CHOOSE(RANDBETWEEN(1,2),"APROBADO","NO APROBADO"),"NO APROBADA - Sin quórum"),"-")</f>
        <v>-</v>
      </c>
    </row>
    <row r="107" spans="1:16" x14ac:dyDescent="0.45">
      <c r="A107" s="23" t="str">
        <f t="shared" ca="1" si="31"/>
        <v/>
      </c>
      <c r="B107" s="23">
        <f ca="1">IF(AND(ISNUMBER(D106),D106&lt;Parámetros!$B$5,ISNUMBER(K106),K106&lt;Parámetros!$B$5,A106&lt;MIN(Parámetros!$B$4,Parámetros!$B$10)),1,0)</f>
        <v>0</v>
      </c>
      <c r="C107" s="33" t="str">
        <f ca="1">IF(B107,-Parámetros!$B$11*LN(1-RAND()),"")</f>
        <v/>
      </c>
      <c r="D107" s="33" t="str">
        <f ca="1">IF(B107,MIN(D106+C107,Parámetros!$B$5),"")</f>
        <v/>
      </c>
      <c r="E107" s="23" t="str">
        <f t="shared" ca="1" si="32"/>
        <v/>
      </c>
      <c r="F107" s="33" t="str">
        <f ca="1">IF(B107,ABS(IF(E107="INTERVENCIÓN",NORMINV(RAND(),Parámetros!$B$13,Parámetros!$B$14),0)),"")</f>
        <v/>
      </c>
      <c r="G107" s="33" t="str">
        <f t="shared" ca="1" si="33"/>
        <v/>
      </c>
      <c r="H107" s="33" t="str">
        <f t="shared" ca="1" si="34"/>
        <v/>
      </c>
      <c r="I107" s="33" t="str">
        <f t="shared" ca="1" si="35"/>
        <v/>
      </c>
      <c r="J107" s="23" t="str">
        <f t="shared" ca="1" si="36"/>
        <v/>
      </c>
      <c r="K107" s="33" t="str">
        <f t="shared" ca="1" si="37"/>
        <v/>
      </c>
      <c r="L107" s="33" t="str">
        <f ca="1">IF(B107,MIN(Parámetros!$B$5-D107,-Parámetros!$B$12*LN(1-RAND())),"")</f>
        <v/>
      </c>
      <c r="M107" s="33" t="str">
        <f t="shared" ca="1" si="38"/>
        <v/>
      </c>
      <c r="N107" s="22" t="str">
        <f t="shared" ca="1" si="25"/>
        <v>-</v>
      </c>
      <c r="O107" s="22" t="str">
        <f ca="1">IF(E107="INTERVENCIÓN",IF(N107&gt;=Parámetros!$B$7,"SÍ","NO"),"-")</f>
        <v>-</v>
      </c>
      <c r="P107" s="23" t="str">
        <f ca="1">IF(E107="INTERVENCIÓN",IF(N107&gt;=Parámetros!$B$7,CHOOSE(RANDBETWEEN(1,2),"APROBADO","NO APROBADO"),"NO APROBADA - Sin quórum"),"-")</f>
        <v>-</v>
      </c>
    </row>
    <row r="108" spans="1:16" x14ac:dyDescent="0.45">
      <c r="A108" s="23" t="str">
        <f t="shared" ca="1" si="31"/>
        <v/>
      </c>
      <c r="B108" s="23">
        <f ca="1">IF(AND(ISNUMBER(D107),D107&lt;Parámetros!$B$5,ISNUMBER(K107),K107&lt;Parámetros!$B$5,A107&lt;MIN(Parámetros!$B$4,Parámetros!$B$10)),1,0)</f>
        <v>0</v>
      </c>
      <c r="C108" s="33" t="str">
        <f ca="1">IF(B108,-Parámetros!$B$11*LN(1-RAND()),"")</f>
        <v/>
      </c>
      <c r="D108" s="33" t="str">
        <f ca="1">IF(B108,MIN(D107+C108,Parámetros!$B$5),"")</f>
        <v/>
      </c>
      <c r="E108" s="23" t="str">
        <f t="shared" ca="1" si="32"/>
        <v/>
      </c>
      <c r="F108" s="33" t="str">
        <f ca="1">IF(B108,ABS(IF(E108="INTERVENCIÓN",NORMINV(RAND(),Parámetros!$B$13,Parámetros!$B$14),0)),"")</f>
        <v/>
      </c>
      <c r="G108" s="33" t="str">
        <f t="shared" ca="1" si="33"/>
        <v/>
      </c>
      <c r="H108" s="33" t="str">
        <f t="shared" ca="1" si="34"/>
        <v/>
      </c>
      <c r="I108" s="33" t="str">
        <f t="shared" ca="1" si="35"/>
        <v/>
      </c>
      <c r="J108" s="23" t="str">
        <f t="shared" ca="1" si="36"/>
        <v/>
      </c>
      <c r="K108" s="33" t="str">
        <f t="shared" ca="1" si="37"/>
        <v/>
      </c>
      <c r="L108" s="33" t="str">
        <f ca="1">IF(B108,MIN(Parámetros!$B$5-D108,-Parámetros!$B$12*LN(1-RAND())),"")</f>
        <v/>
      </c>
      <c r="M108" s="33" t="str">
        <f t="shared" ca="1" si="38"/>
        <v/>
      </c>
      <c r="N108" s="22" t="str">
        <f t="shared" ca="1" si="25"/>
        <v>-</v>
      </c>
      <c r="O108" s="22" t="str">
        <f ca="1">IF(E108="INTERVENCIÓN",IF(N108&gt;=Parámetros!$B$7,"SÍ","NO"),"-")</f>
        <v>-</v>
      </c>
      <c r="P108" s="23" t="str">
        <f ca="1">IF(E108="INTERVENCIÓN",IF(N108&gt;=Parámetros!$B$7,CHOOSE(RANDBETWEEN(1,2),"APROBADO","NO APROBADO"),"NO APROBADA - Sin quórum"),"-")</f>
        <v>-</v>
      </c>
    </row>
    <row r="109" spans="1:16" x14ac:dyDescent="0.45">
      <c r="A109" s="23" t="str">
        <f t="shared" ca="1" si="31"/>
        <v/>
      </c>
      <c r="B109" s="23">
        <f ca="1">IF(AND(ISNUMBER(D108),D108&lt;Parámetros!$B$5,ISNUMBER(K108),K108&lt;Parámetros!$B$5,A108&lt;MIN(Parámetros!$B$4,Parámetros!$B$10)),1,0)</f>
        <v>0</v>
      </c>
      <c r="C109" s="33" t="str">
        <f ca="1">IF(B109,-Parámetros!$B$11*LN(1-RAND()),"")</f>
        <v/>
      </c>
      <c r="D109" s="33" t="str">
        <f ca="1">IF(B109,MIN(D108+C109,Parámetros!$B$5),"")</f>
        <v/>
      </c>
      <c r="E109" s="23" t="str">
        <f t="shared" ca="1" si="32"/>
        <v/>
      </c>
      <c r="F109" s="33" t="str">
        <f ca="1">IF(B109,ABS(IF(E109="INTERVENCIÓN",NORMINV(RAND(),Parámetros!$B$13,Parámetros!$B$14),0)),"")</f>
        <v/>
      </c>
      <c r="G109" s="33" t="str">
        <f t="shared" ca="1" si="33"/>
        <v/>
      </c>
      <c r="H109" s="33" t="str">
        <f t="shared" ca="1" si="34"/>
        <v/>
      </c>
      <c r="I109" s="33" t="str">
        <f t="shared" ca="1" si="35"/>
        <v/>
      </c>
      <c r="J109" s="23" t="str">
        <f t="shared" ca="1" si="36"/>
        <v/>
      </c>
      <c r="K109" s="33" t="str">
        <f t="shared" ca="1" si="37"/>
        <v/>
      </c>
      <c r="L109" s="33" t="str">
        <f ca="1">IF(B109,MIN(Parámetros!$B$5-D109,-Parámetros!$B$12*LN(1-RAND())),"")</f>
        <v/>
      </c>
      <c r="M109" s="33" t="str">
        <f t="shared" ca="1" si="38"/>
        <v/>
      </c>
      <c r="N109" s="22" t="str">
        <f t="shared" ca="1" si="25"/>
        <v>-</v>
      </c>
      <c r="O109" s="22" t="str">
        <f ca="1">IF(E109="INTERVENCIÓN",IF(N109&gt;=Parámetros!$B$7,"SÍ","NO"),"-")</f>
        <v>-</v>
      </c>
      <c r="P109" s="23" t="str">
        <f ca="1">IF(E109="INTERVENCIÓN",IF(N109&gt;=Parámetros!$B$7,CHOOSE(RANDBETWEEN(1,2),"APROBADO","NO APROBADO"),"NO APROBADA - Sin quórum"),"-")</f>
        <v>-</v>
      </c>
    </row>
    <row r="110" spans="1:16" x14ac:dyDescent="0.45">
      <c r="A110" s="23" t="str">
        <f t="shared" ca="1" si="31"/>
        <v/>
      </c>
      <c r="B110" s="23">
        <f ca="1">IF(AND(ISNUMBER(D109),D109&lt;Parámetros!$B$5,ISNUMBER(K109),K109&lt;Parámetros!$B$5,A109&lt;MIN(Parámetros!$B$4,Parámetros!$B$10)),1,0)</f>
        <v>0</v>
      </c>
      <c r="C110" s="33" t="str">
        <f ca="1">IF(B110,-Parámetros!$B$11*LN(1-RAND()),"")</f>
        <v/>
      </c>
      <c r="D110" s="33" t="str">
        <f ca="1">IF(B110,MIN(D109+C110,Parámetros!$B$5),"")</f>
        <v/>
      </c>
      <c r="E110" s="23" t="str">
        <f t="shared" ca="1" si="32"/>
        <v/>
      </c>
      <c r="F110" s="33" t="str">
        <f ca="1">IF(B110,ABS(IF(E110="INTERVENCIÓN",NORMINV(RAND(),Parámetros!$B$13,Parámetros!$B$14),0)),"")</f>
        <v/>
      </c>
      <c r="G110" s="33" t="str">
        <f t="shared" ca="1" si="33"/>
        <v/>
      </c>
      <c r="H110" s="33" t="str">
        <f t="shared" ca="1" si="34"/>
        <v/>
      </c>
      <c r="I110" s="33" t="str">
        <f t="shared" ca="1" si="35"/>
        <v/>
      </c>
      <c r="J110" s="23" t="str">
        <f t="shared" ca="1" si="36"/>
        <v/>
      </c>
      <c r="K110" s="33" t="str">
        <f t="shared" ca="1" si="37"/>
        <v/>
      </c>
      <c r="L110" s="33" t="str">
        <f ca="1">IF(B110,MIN(Parámetros!$B$5-D110,-Parámetros!$B$12*LN(1-RAND())),"")</f>
        <v/>
      </c>
      <c r="M110" s="33" t="str">
        <f t="shared" ca="1" si="38"/>
        <v/>
      </c>
      <c r="N110" s="22" t="str">
        <f t="shared" ca="1" si="25"/>
        <v>-</v>
      </c>
      <c r="O110" s="22" t="str">
        <f ca="1">IF(E110="INTERVENCIÓN",IF(N110&gt;=Parámetros!$B$7,"SÍ","NO"),"-")</f>
        <v>-</v>
      </c>
      <c r="P110" s="23" t="str">
        <f ca="1">IF(E110="INTERVENCIÓN",IF(N110&gt;=Parámetros!$B$7,CHOOSE(RANDBETWEEN(1,2),"APROBADO","NO APROBADO"),"NO APROBADA - Sin quórum"),"-")</f>
        <v>-</v>
      </c>
    </row>
    <row r="111" spans="1:16" x14ac:dyDescent="0.45">
      <c r="A111" s="23" t="str">
        <f t="shared" ca="1" si="31"/>
        <v/>
      </c>
      <c r="B111" s="23">
        <f ca="1">IF(AND(ISNUMBER(D110),D110&lt;Parámetros!$B$5,ISNUMBER(K110),K110&lt;Parámetros!$B$5,A110&lt;MIN(Parámetros!$B$4,Parámetros!$B$10)),1,0)</f>
        <v>0</v>
      </c>
      <c r="C111" s="33" t="str">
        <f ca="1">IF(B111,-Parámetros!$B$11*LN(1-RAND()),"")</f>
        <v/>
      </c>
      <c r="D111" s="33" t="str">
        <f ca="1">IF(B111,MIN(D110+C111,Parámetros!$B$5),"")</f>
        <v/>
      </c>
      <c r="E111" s="23" t="str">
        <f t="shared" ca="1" si="32"/>
        <v/>
      </c>
      <c r="F111" s="33" t="str">
        <f ca="1">IF(B111,ABS(IF(E111="INTERVENCIÓN",NORMINV(RAND(),Parámetros!$B$13,Parámetros!$B$14),0)),"")</f>
        <v/>
      </c>
      <c r="G111" s="33" t="str">
        <f t="shared" ca="1" si="33"/>
        <v/>
      </c>
      <c r="H111" s="33" t="str">
        <f t="shared" ca="1" si="34"/>
        <v/>
      </c>
      <c r="I111" s="33" t="str">
        <f t="shared" ca="1" si="35"/>
        <v/>
      </c>
      <c r="J111" s="23" t="str">
        <f t="shared" ca="1" si="36"/>
        <v/>
      </c>
      <c r="K111" s="33" t="str">
        <f t="shared" ca="1" si="37"/>
        <v/>
      </c>
      <c r="L111" s="33" t="str">
        <f ca="1">IF(B111,MIN(Parámetros!$B$5-D111,-Parámetros!$B$12*LN(1-RAND())),"")</f>
        <v/>
      </c>
      <c r="M111" s="33" t="str">
        <f t="shared" ca="1" si="38"/>
        <v/>
      </c>
      <c r="N111" s="22" t="str">
        <f t="shared" ca="1" si="25"/>
        <v>-</v>
      </c>
      <c r="O111" s="22" t="str">
        <f ca="1">IF(E111="INTERVENCIÓN",IF(N111&gt;=Parámetros!$B$7,"SÍ","NO"),"-")</f>
        <v>-</v>
      </c>
      <c r="P111" s="23" t="str">
        <f ca="1">IF(E111="INTERVENCIÓN",IF(N111&gt;=Parámetros!$B$7,CHOOSE(RANDBETWEEN(1,2),"APROBADO","NO APROBADO"),"NO APROBADA - Sin quórum"),"-")</f>
        <v>-</v>
      </c>
    </row>
    <row r="112" spans="1:16" x14ac:dyDescent="0.45">
      <c r="A112" s="23" t="str">
        <f t="shared" ca="1" si="31"/>
        <v/>
      </c>
      <c r="B112" s="23">
        <f ca="1">IF(AND(ISNUMBER(D111),D111&lt;Parámetros!$B$5,ISNUMBER(K111),K111&lt;Parámetros!$B$5,A111&lt;MIN(Parámetros!$B$4,Parámetros!$B$10)),1,0)</f>
        <v>0</v>
      </c>
      <c r="C112" s="33" t="str">
        <f ca="1">IF(B112,-Parámetros!$B$11*LN(1-RAND()),"")</f>
        <v/>
      </c>
      <c r="D112" s="33" t="str">
        <f ca="1">IF(B112,MIN(D111+C112,Parámetros!$B$5),"")</f>
        <v/>
      </c>
      <c r="E112" s="23" t="str">
        <f t="shared" ca="1" si="32"/>
        <v/>
      </c>
      <c r="F112" s="33" t="str">
        <f ca="1">IF(B112,ABS(IF(E112="INTERVENCIÓN",NORMINV(RAND(),Parámetros!$B$13,Parámetros!$B$14),0)),"")</f>
        <v/>
      </c>
      <c r="G112" s="33" t="str">
        <f t="shared" ca="1" si="33"/>
        <v/>
      </c>
      <c r="H112" s="33" t="str">
        <f t="shared" ca="1" si="34"/>
        <v/>
      </c>
      <c r="I112" s="33" t="str">
        <f t="shared" ca="1" si="35"/>
        <v/>
      </c>
      <c r="J112" s="23" t="str">
        <f t="shared" ca="1" si="36"/>
        <v/>
      </c>
      <c r="K112" s="33" t="str">
        <f t="shared" ca="1" si="37"/>
        <v/>
      </c>
      <c r="L112" s="33" t="str">
        <f ca="1">IF(B112,MIN(Parámetros!$B$5-D112,-Parámetros!$B$12*LN(1-RAND())),"")</f>
        <v/>
      </c>
      <c r="M112" s="33" t="str">
        <f t="shared" ca="1" si="38"/>
        <v/>
      </c>
      <c r="N112" s="22" t="str">
        <f t="shared" ca="1" si="25"/>
        <v>-</v>
      </c>
      <c r="O112" s="22" t="str">
        <f ca="1">IF(E112="INTERVENCIÓN",IF(N112&gt;=Parámetros!$B$7,"SÍ","NO"),"-")</f>
        <v>-</v>
      </c>
      <c r="P112" s="23" t="str">
        <f ca="1">IF(E112="INTERVENCIÓN",IF(N112&gt;=Parámetros!$B$7,CHOOSE(RANDBETWEEN(1,2),"APROBADO","NO APROBADO"),"NO APROBADA - Sin quórum"),"-")</f>
        <v>-</v>
      </c>
    </row>
    <row r="113" spans="1:16" x14ac:dyDescent="0.45">
      <c r="A113" s="23" t="str">
        <f t="shared" ca="1" si="31"/>
        <v/>
      </c>
      <c r="B113" s="23">
        <f ca="1">IF(AND(ISNUMBER(D112),D112&lt;Parámetros!$B$5,ISNUMBER(K112),K112&lt;Parámetros!$B$5,A112&lt;MIN(Parámetros!$B$4,Parámetros!$B$10)),1,0)</f>
        <v>0</v>
      </c>
      <c r="C113" s="33" t="str">
        <f ca="1">IF(B113,-Parámetros!$B$11*LN(1-RAND()),"")</f>
        <v/>
      </c>
      <c r="D113" s="33" t="str">
        <f ca="1">IF(B113,MIN(D112+C113,Parámetros!$B$5),"")</f>
        <v/>
      </c>
      <c r="E113" s="23" t="str">
        <f t="shared" ca="1" si="32"/>
        <v/>
      </c>
      <c r="F113" s="33" t="str">
        <f ca="1">IF(B113,ABS(IF(E113="INTERVENCIÓN",NORMINV(RAND(),Parámetros!$B$13,Parámetros!$B$14),0)),"")</f>
        <v/>
      </c>
      <c r="G113" s="33" t="str">
        <f t="shared" ca="1" si="33"/>
        <v/>
      </c>
      <c r="H113" s="33" t="str">
        <f t="shared" ca="1" si="34"/>
        <v/>
      </c>
      <c r="I113" s="33" t="str">
        <f t="shared" ca="1" si="35"/>
        <v/>
      </c>
      <c r="J113" s="23" t="str">
        <f t="shared" ca="1" si="36"/>
        <v/>
      </c>
      <c r="K113" s="33" t="str">
        <f t="shared" ca="1" si="37"/>
        <v/>
      </c>
      <c r="L113" s="33" t="str">
        <f ca="1">IF(B113,MIN(Parámetros!$B$5-D113,-Parámetros!$B$12*LN(1-RAND())),"")</f>
        <v/>
      </c>
      <c r="M113" s="33" t="str">
        <f t="shared" ca="1" si="38"/>
        <v/>
      </c>
      <c r="N113" s="22" t="str">
        <f t="shared" ca="1" si="25"/>
        <v>-</v>
      </c>
      <c r="O113" s="22" t="str">
        <f ca="1">IF(E113="INTERVENCIÓN",IF(N113&gt;=Parámetros!$B$7,"SÍ","NO"),"-")</f>
        <v>-</v>
      </c>
      <c r="P113" s="23" t="str">
        <f ca="1">IF(E113="INTERVENCIÓN",IF(N113&gt;=Parámetros!$B$7,CHOOSE(RANDBETWEEN(1,2),"APROBADO","NO APROBADO"),"NO APROBADA - Sin quórum"),"-")</f>
        <v>-</v>
      </c>
    </row>
    <row r="114" spans="1:16" x14ac:dyDescent="0.45">
      <c r="A114" s="23" t="str">
        <f t="shared" ca="1" si="31"/>
        <v/>
      </c>
      <c r="B114" s="23">
        <f ca="1">IF(AND(ISNUMBER(D113),D113&lt;Parámetros!$B$5,ISNUMBER(K113),K113&lt;Parámetros!$B$5,A113&lt;MIN(Parámetros!$B$4,Parámetros!$B$10)),1,0)</f>
        <v>0</v>
      </c>
      <c r="C114" s="33" t="str">
        <f ca="1">IF(B114,-Parámetros!$B$11*LN(1-RAND()),"")</f>
        <v/>
      </c>
      <c r="D114" s="33" t="str">
        <f ca="1">IF(B114,MIN(D113+C114,Parámetros!$B$5),"")</f>
        <v/>
      </c>
      <c r="E114" s="23" t="str">
        <f t="shared" ca="1" si="32"/>
        <v/>
      </c>
      <c r="F114" s="33" t="str">
        <f ca="1">IF(B114,ABS(IF(E114="INTERVENCIÓN",NORMINV(RAND(),Parámetros!$B$13,Parámetros!$B$14),0)),"")</f>
        <v/>
      </c>
      <c r="G114" s="33" t="str">
        <f t="shared" ca="1" si="33"/>
        <v/>
      </c>
      <c r="H114" s="33" t="str">
        <f t="shared" ca="1" si="34"/>
        <v/>
      </c>
      <c r="I114" s="33" t="str">
        <f t="shared" ca="1" si="35"/>
        <v/>
      </c>
      <c r="J114" s="23" t="str">
        <f t="shared" ca="1" si="36"/>
        <v/>
      </c>
      <c r="K114" s="33" t="str">
        <f t="shared" ca="1" si="37"/>
        <v/>
      </c>
      <c r="L114" s="33" t="str">
        <f ca="1">IF(B114,MIN(Parámetros!$B$5-D114,-Parámetros!$B$12*LN(1-RAND())),"")</f>
        <v/>
      </c>
      <c r="M114" s="33" t="str">
        <f t="shared" ca="1" si="38"/>
        <v/>
      </c>
      <c r="N114" s="22" t="str">
        <f t="shared" ca="1" si="25"/>
        <v>-</v>
      </c>
      <c r="O114" s="22" t="str">
        <f ca="1">IF(E114="INTERVENCIÓN",IF(N114&gt;=Parámetros!$B$7,"SÍ","NO"),"-")</f>
        <v>-</v>
      </c>
      <c r="P114" s="23" t="str">
        <f ca="1">IF(E114="INTERVENCIÓN",IF(N114&gt;=Parámetros!$B$7,CHOOSE(RANDBETWEEN(1,2),"APROBADO","NO APROBADO"),"NO APROBADA - Sin quórum"),"-")</f>
        <v>-</v>
      </c>
    </row>
    <row r="115" spans="1:16" x14ac:dyDescent="0.45">
      <c r="A115" s="23" t="str">
        <f t="shared" ca="1" si="31"/>
        <v/>
      </c>
      <c r="B115" s="23">
        <f ca="1">IF(AND(ISNUMBER(D114),D114&lt;Parámetros!$B$5,ISNUMBER(K114),K114&lt;Parámetros!$B$5,A114&lt;MIN(Parámetros!$B$4,Parámetros!$B$10)),1,0)</f>
        <v>0</v>
      </c>
      <c r="C115" s="33" t="str">
        <f ca="1">IF(B115,-Parámetros!$B$11*LN(1-RAND()),"")</f>
        <v/>
      </c>
      <c r="D115" s="33" t="str">
        <f ca="1">IF(B115,MIN(D114+C115,Parámetros!$B$5),"")</f>
        <v/>
      </c>
      <c r="E115" s="23" t="str">
        <f t="shared" ca="1" si="32"/>
        <v/>
      </c>
      <c r="F115" s="33" t="str">
        <f ca="1">IF(B115,ABS(IF(E115="INTERVENCIÓN",NORMINV(RAND(),Parámetros!$B$13,Parámetros!$B$14),0)),"")</f>
        <v/>
      </c>
      <c r="G115" s="33" t="str">
        <f t="shared" ca="1" si="33"/>
        <v/>
      </c>
      <c r="H115" s="33" t="str">
        <f t="shared" ca="1" si="34"/>
        <v/>
      </c>
      <c r="I115" s="33" t="str">
        <f t="shared" ca="1" si="35"/>
        <v/>
      </c>
      <c r="J115" s="23" t="str">
        <f t="shared" ca="1" si="36"/>
        <v/>
      </c>
      <c r="K115" s="33" t="str">
        <f t="shared" ca="1" si="37"/>
        <v/>
      </c>
      <c r="L115" s="33" t="str">
        <f ca="1">IF(B115,MIN(Parámetros!$B$5-D115,-Parámetros!$B$12*LN(1-RAND())),"")</f>
        <v/>
      </c>
      <c r="M115" s="33" t="str">
        <f t="shared" ca="1" si="38"/>
        <v/>
      </c>
      <c r="N115" s="22" t="str">
        <f t="shared" ca="1" si="25"/>
        <v>-</v>
      </c>
      <c r="O115" s="22" t="str">
        <f ca="1">IF(E115="INTERVENCIÓN",IF(N115&gt;=Parámetros!$B$7,"SÍ","NO"),"-")</f>
        <v>-</v>
      </c>
      <c r="P115" s="23" t="str">
        <f ca="1">IF(E115="INTERVENCIÓN",IF(N115&gt;=Parámetros!$B$7,CHOOSE(RANDBETWEEN(1,2),"APROBADO","NO APROBADO"),"NO APROBADA - Sin quórum"),"-")</f>
        <v>-</v>
      </c>
    </row>
    <row r="116" spans="1:16" x14ac:dyDescent="0.45">
      <c r="A116" s="23" t="str">
        <f t="shared" ca="1" si="31"/>
        <v/>
      </c>
      <c r="B116" s="23">
        <f ca="1">IF(AND(ISNUMBER(D115),D115&lt;Parámetros!$B$5,ISNUMBER(K115),K115&lt;Parámetros!$B$5,A115&lt;MIN(Parámetros!$B$4,Parámetros!$B$10)),1,0)</f>
        <v>0</v>
      </c>
      <c r="C116" s="33" t="str">
        <f ca="1">IF(B116,-Parámetros!$B$11*LN(1-RAND()),"")</f>
        <v/>
      </c>
      <c r="D116" s="33" t="str">
        <f ca="1">IF(B116,MIN(D115+C116,Parámetros!$B$5),"")</f>
        <v/>
      </c>
      <c r="E116" s="23" t="str">
        <f t="shared" ca="1" si="32"/>
        <v/>
      </c>
      <c r="F116" s="33" t="str">
        <f ca="1">IF(B116,ABS(IF(E116="INTERVENCIÓN",NORMINV(RAND(),Parámetros!$B$13,Parámetros!$B$14),0)),"")</f>
        <v/>
      </c>
      <c r="G116" s="33" t="str">
        <f t="shared" ca="1" si="33"/>
        <v/>
      </c>
      <c r="H116" s="33" t="str">
        <f t="shared" ca="1" si="34"/>
        <v/>
      </c>
      <c r="I116" s="33" t="str">
        <f t="shared" ca="1" si="35"/>
        <v/>
      </c>
      <c r="J116" s="23" t="str">
        <f t="shared" ca="1" si="36"/>
        <v/>
      </c>
      <c r="K116" s="33" t="str">
        <f t="shared" ca="1" si="37"/>
        <v/>
      </c>
      <c r="L116" s="33" t="str">
        <f ca="1">IF(B116,MIN(Parámetros!$B$5-D116,-Parámetros!$B$12*LN(1-RAND())),"")</f>
        <v/>
      </c>
      <c r="M116" s="33" t="str">
        <f t="shared" ca="1" si="38"/>
        <v/>
      </c>
      <c r="N116" s="22" t="str">
        <f t="shared" ca="1" si="25"/>
        <v>-</v>
      </c>
      <c r="O116" s="22" t="str">
        <f ca="1">IF(E116="INTERVENCIÓN",IF(N116&gt;=Parámetros!$B$7,"SÍ","NO"),"-")</f>
        <v>-</v>
      </c>
      <c r="P116" s="23" t="str">
        <f ca="1">IF(E116="INTERVENCIÓN",IF(N116&gt;=Parámetros!$B$7,CHOOSE(RANDBETWEEN(1,2),"APROBADO","NO APROBADO"),"NO APROBADA - Sin quórum"),"-")</f>
        <v>-</v>
      </c>
    </row>
    <row r="117" spans="1:16" x14ac:dyDescent="0.45">
      <c r="A117" s="23" t="str">
        <f t="shared" ca="1" si="31"/>
        <v/>
      </c>
      <c r="B117" s="23">
        <f ca="1">IF(AND(ISNUMBER(D116),D116&lt;Parámetros!$B$5,ISNUMBER(K116),K116&lt;Parámetros!$B$5,A116&lt;MIN(Parámetros!$B$4,Parámetros!$B$10)),1,0)</f>
        <v>0</v>
      </c>
      <c r="C117" s="33" t="str">
        <f ca="1">IF(B117,-Parámetros!$B$11*LN(1-RAND()),"")</f>
        <v/>
      </c>
      <c r="D117" s="33" t="str">
        <f ca="1">IF(B117,MIN(D116+C117,Parámetros!$B$5),"")</f>
        <v/>
      </c>
      <c r="E117" s="23" t="str">
        <f t="shared" ca="1" si="32"/>
        <v/>
      </c>
      <c r="F117" s="33" t="str">
        <f ca="1">IF(B117,ABS(IF(E117="INTERVENCIÓN",NORMINV(RAND(),Parámetros!$B$13,Parámetros!$B$14),0)),"")</f>
        <v/>
      </c>
      <c r="G117" s="33" t="str">
        <f t="shared" ca="1" si="33"/>
        <v/>
      </c>
      <c r="H117" s="33" t="str">
        <f t="shared" ca="1" si="34"/>
        <v/>
      </c>
      <c r="I117" s="33" t="str">
        <f t="shared" ca="1" si="35"/>
        <v/>
      </c>
      <c r="J117" s="23" t="str">
        <f t="shared" ca="1" si="36"/>
        <v/>
      </c>
      <c r="K117" s="33" t="str">
        <f t="shared" ca="1" si="37"/>
        <v/>
      </c>
      <c r="L117" s="33" t="str">
        <f ca="1">IF(B117,MIN(Parámetros!$B$5-D117,-Parámetros!$B$12*LN(1-RAND())),"")</f>
        <v/>
      </c>
      <c r="M117" s="33" t="str">
        <f t="shared" ca="1" si="38"/>
        <v/>
      </c>
      <c r="N117" s="22" t="str">
        <f t="shared" ca="1" si="25"/>
        <v>-</v>
      </c>
      <c r="O117" s="22" t="str">
        <f ca="1">IF(E117="INTERVENCIÓN",IF(N117&gt;=Parámetros!$B$7,"SÍ","NO"),"-")</f>
        <v>-</v>
      </c>
      <c r="P117" s="23" t="str">
        <f ca="1">IF(E117="INTERVENCIÓN",IF(N117&gt;=Parámetros!$B$7,CHOOSE(RANDBETWEEN(1,2),"APROBADO","NO APROBADO"),"NO APROBADA - Sin quórum"),"-")</f>
        <v>-</v>
      </c>
    </row>
    <row r="118" spans="1:16" x14ac:dyDescent="0.45">
      <c r="A118" s="23" t="str">
        <f t="shared" ca="1" si="31"/>
        <v/>
      </c>
      <c r="B118" s="23">
        <f ca="1">IF(AND(ISNUMBER(D117),D117&lt;Parámetros!$B$5,ISNUMBER(K117),K117&lt;Parámetros!$B$5,A117&lt;MIN(Parámetros!$B$4,Parámetros!$B$10)),1,0)</f>
        <v>0</v>
      </c>
      <c r="C118" s="33" t="str">
        <f ca="1">IF(B118,-Parámetros!$B$11*LN(1-RAND()),"")</f>
        <v/>
      </c>
      <c r="D118" s="33" t="str">
        <f ca="1">IF(B118,MIN(D117+C118,Parámetros!$B$5),"")</f>
        <v/>
      </c>
      <c r="E118" s="23" t="str">
        <f t="shared" ca="1" si="32"/>
        <v/>
      </c>
      <c r="F118" s="33" t="str">
        <f ca="1">IF(B118,ABS(IF(E118="INTERVENCIÓN",NORMINV(RAND(),Parámetros!$B$13,Parámetros!$B$14),0)),"")</f>
        <v/>
      </c>
      <c r="G118" s="33" t="str">
        <f t="shared" ca="1" si="33"/>
        <v/>
      </c>
      <c r="H118" s="33" t="str">
        <f t="shared" ca="1" si="34"/>
        <v/>
      </c>
      <c r="I118" s="33" t="str">
        <f t="shared" ca="1" si="35"/>
        <v/>
      </c>
      <c r="J118" s="23" t="str">
        <f t="shared" ca="1" si="36"/>
        <v/>
      </c>
      <c r="K118" s="33" t="str">
        <f t="shared" ca="1" si="37"/>
        <v/>
      </c>
      <c r="L118" s="33" t="str">
        <f ca="1">IF(B118,MIN(Parámetros!$B$5-D118,-Parámetros!$B$12*LN(1-RAND())),"")</f>
        <v/>
      </c>
      <c r="M118" s="33" t="str">
        <f t="shared" ca="1" si="38"/>
        <v/>
      </c>
      <c r="N118" s="22" t="str">
        <f t="shared" ca="1" si="25"/>
        <v>-</v>
      </c>
      <c r="O118" s="22" t="str">
        <f ca="1">IF(E118="INTERVENCIÓN",IF(N118&gt;=Parámetros!$B$7,"SÍ","NO"),"-")</f>
        <v>-</v>
      </c>
      <c r="P118" s="23" t="str">
        <f ca="1">IF(E118="INTERVENCIÓN",IF(N118&gt;=Parámetros!$B$7,CHOOSE(RANDBETWEEN(1,2),"APROBADO","NO APROBADO"),"NO APROBADA - Sin quórum"),"-")</f>
        <v>-</v>
      </c>
    </row>
    <row r="119" spans="1:16" x14ac:dyDescent="0.45">
      <c r="A119" s="23" t="str">
        <f t="shared" ca="1" si="31"/>
        <v/>
      </c>
      <c r="B119" s="23">
        <f ca="1">IF(AND(ISNUMBER(D118),D118&lt;Parámetros!$B$5,ISNUMBER(K118),K118&lt;Parámetros!$B$5,A118&lt;MIN(Parámetros!$B$4,Parámetros!$B$10)),1,0)</f>
        <v>0</v>
      </c>
      <c r="C119" s="33" t="str">
        <f ca="1">IF(B119,-Parámetros!$B$11*LN(1-RAND()),"")</f>
        <v/>
      </c>
      <c r="D119" s="33" t="str">
        <f ca="1">IF(B119,MIN(D118+C119,Parámetros!$B$5),"")</f>
        <v/>
      </c>
      <c r="E119" s="23" t="str">
        <f t="shared" ca="1" si="32"/>
        <v/>
      </c>
      <c r="F119" s="33" t="str">
        <f ca="1">IF(B119,ABS(IF(E119="INTERVENCIÓN",NORMINV(RAND(),Parámetros!$B$13,Parámetros!$B$14),0)),"")</f>
        <v/>
      </c>
      <c r="G119" s="33" t="str">
        <f t="shared" ca="1" si="33"/>
        <v/>
      </c>
      <c r="H119" s="33" t="str">
        <f t="shared" ca="1" si="34"/>
        <v/>
      </c>
      <c r="I119" s="33" t="str">
        <f t="shared" ca="1" si="35"/>
        <v/>
      </c>
      <c r="J119" s="23" t="str">
        <f t="shared" ca="1" si="36"/>
        <v/>
      </c>
      <c r="K119" s="33" t="str">
        <f t="shared" ca="1" si="37"/>
        <v/>
      </c>
      <c r="L119" s="33" t="str">
        <f ca="1">IF(B119,MIN(Parámetros!$B$5-D119,-Parámetros!$B$12*LN(1-RAND())),"")</f>
        <v/>
      </c>
      <c r="M119" s="33" t="str">
        <f t="shared" ca="1" si="38"/>
        <v/>
      </c>
      <c r="N119" s="22" t="str">
        <f t="shared" ca="1" si="25"/>
        <v>-</v>
      </c>
      <c r="O119" s="22" t="str">
        <f ca="1">IF(E119="INTERVENCIÓN",IF(N119&gt;=Parámetros!$B$7,"SÍ","NO"),"-")</f>
        <v>-</v>
      </c>
      <c r="P119" s="23" t="str">
        <f ca="1">IF(E119="INTERVENCIÓN",IF(N119&gt;=Parámetros!$B$7,CHOOSE(RANDBETWEEN(1,2),"APROBADO","NO APROBADO"),"NO APROBADA - Sin quórum"),"-")</f>
        <v>-</v>
      </c>
    </row>
    <row r="120" spans="1:16" x14ac:dyDescent="0.45">
      <c r="A120" s="23" t="str">
        <f t="shared" ca="1" si="31"/>
        <v/>
      </c>
      <c r="B120" s="23">
        <f ca="1">IF(AND(ISNUMBER(D119),D119&lt;Parámetros!$B$5,ISNUMBER(K119),K119&lt;Parámetros!$B$5,A119&lt;MIN(Parámetros!$B$4,Parámetros!$B$10)),1,0)</f>
        <v>0</v>
      </c>
      <c r="C120" s="33" t="str">
        <f ca="1">IF(B120,-Parámetros!$B$11*LN(1-RAND()),"")</f>
        <v/>
      </c>
      <c r="D120" s="33" t="str">
        <f ca="1">IF(B120,MIN(D119+C120,Parámetros!$B$5),"")</f>
        <v/>
      </c>
      <c r="E120" s="23" t="str">
        <f t="shared" ca="1" si="32"/>
        <v/>
      </c>
      <c r="F120" s="33" t="str">
        <f ca="1">IF(B120,ABS(IF(E120="INTERVENCIÓN",NORMINV(RAND(),Parámetros!$B$13,Parámetros!$B$14),0)),"")</f>
        <v/>
      </c>
      <c r="G120" s="33" t="str">
        <f t="shared" ca="1" si="33"/>
        <v/>
      </c>
      <c r="H120" s="33" t="str">
        <f t="shared" ca="1" si="34"/>
        <v/>
      </c>
      <c r="I120" s="33" t="str">
        <f t="shared" ca="1" si="35"/>
        <v/>
      </c>
      <c r="J120" s="23" t="str">
        <f t="shared" ca="1" si="36"/>
        <v/>
      </c>
      <c r="K120" s="33" t="str">
        <f t="shared" ca="1" si="37"/>
        <v/>
      </c>
      <c r="L120" s="33" t="str">
        <f ca="1">IF(B120,MIN(Parámetros!$B$5-D120,-Parámetros!$B$12*LN(1-RAND())),"")</f>
        <v/>
      </c>
      <c r="M120" s="33" t="str">
        <f t="shared" ca="1" si="38"/>
        <v/>
      </c>
      <c r="N120" s="22" t="str">
        <f t="shared" ca="1" si="25"/>
        <v>-</v>
      </c>
      <c r="O120" s="22" t="str">
        <f ca="1">IF(E120="INTERVENCIÓN",IF(N120&gt;=Parámetros!$B$7,"SÍ","NO"),"-")</f>
        <v>-</v>
      </c>
      <c r="P120" s="23" t="str">
        <f ca="1">IF(E120="INTERVENCIÓN",IF(N120&gt;=Parámetros!$B$7,CHOOSE(RANDBETWEEN(1,2),"APROBADO","NO APROBADO"),"NO APROBADA - Sin quórum"),"-")</f>
        <v>-</v>
      </c>
    </row>
    <row r="121" spans="1:16" x14ac:dyDescent="0.45">
      <c r="A121" s="23" t="str">
        <f t="shared" ca="1" si="31"/>
        <v/>
      </c>
      <c r="B121" s="23">
        <f ca="1">IF(AND(ISNUMBER(D120),D120&lt;Parámetros!$B$5,ISNUMBER(K120),K120&lt;Parámetros!$B$5,A120&lt;MIN(Parámetros!$B$4,Parámetros!$B$10)),1,0)</f>
        <v>0</v>
      </c>
      <c r="C121" s="33" t="str">
        <f ca="1">IF(B121,-Parámetros!$B$11*LN(1-RAND()),"")</f>
        <v/>
      </c>
      <c r="D121" s="33" t="str">
        <f ca="1">IF(B121,MIN(D120+C121,Parámetros!$B$5),"")</f>
        <v/>
      </c>
      <c r="E121" s="23" t="str">
        <f t="shared" ca="1" si="32"/>
        <v/>
      </c>
      <c r="F121" s="33" t="str">
        <f ca="1">IF(B121,ABS(IF(E121="INTERVENCIÓN",NORMINV(RAND(),Parámetros!$B$13,Parámetros!$B$14),0)),"")</f>
        <v/>
      </c>
      <c r="G121" s="33" t="str">
        <f t="shared" ca="1" si="33"/>
        <v/>
      </c>
      <c r="H121" s="33" t="str">
        <f t="shared" ca="1" si="34"/>
        <v/>
      </c>
      <c r="I121" s="33" t="str">
        <f t="shared" ca="1" si="35"/>
        <v/>
      </c>
      <c r="J121" s="23" t="str">
        <f t="shared" ca="1" si="36"/>
        <v/>
      </c>
      <c r="K121" s="33" t="str">
        <f t="shared" ca="1" si="37"/>
        <v/>
      </c>
      <c r="L121" s="33" t="str">
        <f ca="1">IF(B121,MIN(Parámetros!$B$5-D121,-Parámetros!$B$12*LN(1-RAND())),"")</f>
        <v/>
      </c>
      <c r="M121" s="33" t="str">
        <f t="shared" ca="1" si="38"/>
        <v/>
      </c>
      <c r="N121" s="22" t="str">
        <f t="shared" ca="1" si="25"/>
        <v>-</v>
      </c>
      <c r="O121" s="22" t="str">
        <f ca="1">IF(E121="INTERVENCIÓN",IF(N121&gt;=Parámetros!$B$7,"SÍ","NO"),"-")</f>
        <v>-</v>
      </c>
      <c r="P121" s="23" t="str">
        <f ca="1">IF(E121="INTERVENCIÓN",IF(N121&gt;=Parámetros!$B$7,CHOOSE(RANDBETWEEN(1,2),"APROBADO","NO APROBADO"),"NO APROBADA - Sin quórum"),"-")</f>
        <v>-</v>
      </c>
    </row>
    <row r="122" spans="1:16" x14ac:dyDescent="0.45">
      <c r="A122" s="23" t="str">
        <f t="shared" ca="1" si="31"/>
        <v/>
      </c>
      <c r="B122" s="23">
        <f ca="1">IF(AND(ISNUMBER(D121),D121&lt;Parámetros!$B$5,ISNUMBER(K121),K121&lt;Parámetros!$B$5,A121&lt;MIN(Parámetros!$B$4,Parámetros!$B$10)),1,0)</f>
        <v>0</v>
      </c>
      <c r="C122" s="33" t="str">
        <f ca="1">IF(B122,-Parámetros!$B$11*LN(1-RAND()),"")</f>
        <v/>
      </c>
      <c r="D122" s="33" t="str">
        <f ca="1">IF(B122,MIN(D121+C122,Parámetros!$B$5),"")</f>
        <v/>
      </c>
      <c r="E122" s="23" t="str">
        <f t="shared" ca="1" si="32"/>
        <v/>
      </c>
      <c r="F122" s="33" t="str">
        <f ca="1">IF(B122,ABS(IF(E122="INTERVENCIÓN",NORMINV(RAND(),Parámetros!$B$13,Parámetros!$B$14),0)),"")</f>
        <v/>
      </c>
      <c r="G122" s="33" t="str">
        <f t="shared" ca="1" si="33"/>
        <v/>
      </c>
      <c r="H122" s="33" t="str">
        <f t="shared" ca="1" si="34"/>
        <v/>
      </c>
      <c r="I122" s="33" t="str">
        <f t="shared" ca="1" si="35"/>
        <v/>
      </c>
      <c r="J122" s="23" t="str">
        <f t="shared" ca="1" si="36"/>
        <v/>
      </c>
      <c r="K122" s="33" t="str">
        <f t="shared" ca="1" si="37"/>
        <v/>
      </c>
      <c r="L122" s="33" t="str">
        <f ca="1">IF(B122,MIN(Parámetros!$B$5-D122,-Parámetros!$B$12*LN(1-RAND())),"")</f>
        <v/>
      </c>
      <c r="M122" s="33" t="str">
        <f t="shared" ca="1" si="38"/>
        <v/>
      </c>
      <c r="N122" s="22" t="str">
        <f t="shared" ca="1" si="25"/>
        <v>-</v>
      </c>
      <c r="O122" s="22" t="str">
        <f ca="1">IF(E122="INTERVENCIÓN",IF(N122&gt;=Parámetros!$B$7,"SÍ","NO"),"-")</f>
        <v>-</v>
      </c>
      <c r="P122" s="23" t="str">
        <f ca="1">IF(E122="INTERVENCIÓN",IF(N122&gt;=Parámetros!$B$7,CHOOSE(RANDBETWEEN(1,2),"APROBADO","NO APROBADO"),"NO APROBADA - Sin quórum"),"-")</f>
        <v>-</v>
      </c>
    </row>
    <row r="123" spans="1:16" x14ac:dyDescent="0.45">
      <c r="A123" s="23" t="str">
        <f t="shared" ca="1" si="31"/>
        <v/>
      </c>
      <c r="B123" s="23">
        <f ca="1">IF(AND(ISNUMBER(D122),D122&lt;Parámetros!$B$5,ISNUMBER(K122),K122&lt;Parámetros!$B$5,A122&lt;MIN(Parámetros!$B$4,Parámetros!$B$10)),1,0)</f>
        <v>0</v>
      </c>
      <c r="C123" s="33" t="str">
        <f ca="1">IF(B123,-Parámetros!$B$11*LN(1-RAND()),"")</f>
        <v/>
      </c>
      <c r="D123" s="33" t="str">
        <f ca="1">IF(B123,MIN(D122+C123,Parámetros!$B$5),"")</f>
        <v/>
      </c>
      <c r="E123" s="23" t="str">
        <f t="shared" ca="1" si="32"/>
        <v/>
      </c>
      <c r="F123" s="33" t="str">
        <f ca="1">IF(B123,ABS(IF(E123="INTERVENCIÓN",NORMINV(RAND(),Parámetros!$B$13,Parámetros!$B$14),0)),"")</f>
        <v/>
      </c>
      <c r="G123" s="33" t="str">
        <f t="shared" ca="1" si="33"/>
        <v/>
      </c>
      <c r="H123" s="33" t="str">
        <f t="shared" ca="1" si="34"/>
        <v/>
      </c>
      <c r="I123" s="33" t="str">
        <f t="shared" ca="1" si="35"/>
        <v/>
      </c>
      <c r="J123" s="23" t="str">
        <f t="shared" ca="1" si="36"/>
        <v/>
      </c>
      <c r="K123" s="33" t="str">
        <f t="shared" ca="1" si="37"/>
        <v/>
      </c>
      <c r="L123" s="33" t="str">
        <f ca="1">IF(B123,MIN(Parámetros!$B$5-D123,-Parámetros!$B$12*LN(1-RAND())),"")</f>
        <v/>
      </c>
      <c r="M123" s="33" t="str">
        <f t="shared" ca="1" si="38"/>
        <v/>
      </c>
      <c r="N123" s="22" t="str">
        <f t="shared" ca="1" si="25"/>
        <v>-</v>
      </c>
      <c r="O123" s="22" t="str">
        <f ca="1">IF(E123="INTERVENCIÓN",IF(N123&gt;=Parámetros!$B$7,"SÍ","NO"),"-")</f>
        <v>-</v>
      </c>
      <c r="P123" s="23" t="str">
        <f ca="1">IF(E123="INTERVENCIÓN",IF(N123&gt;=Parámetros!$B$7,CHOOSE(RANDBETWEEN(1,2),"APROBADO","NO APROBADO"),"NO APROBADA - Sin quórum"),"-")</f>
        <v>-</v>
      </c>
    </row>
    <row r="124" spans="1:16" x14ac:dyDescent="0.45">
      <c r="A124" s="23" t="str">
        <f t="shared" ca="1" si="31"/>
        <v/>
      </c>
      <c r="B124" s="23">
        <f ca="1">IF(AND(ISNUMBER(D123),D123&lt;Parámetros!$B$5,ISNUMBER(K123),K123&lt;Parámetros!$B$5,A123&lt;MIN(Parámetros!$B$4,Parámetros!$B$10)),1,0)</f>
        <v>0</v>
      </c>
      <c r="C124" s="33" t="str">
        <f ca="1">IF(B124,-Parámetros!$B$11*LN(1-RAND()),"")</f>
        <v/>
      </c>
      <c r="D124" s="33" t="str">
        <f ca="1">IF(B124,MIN(D123+C124,Parámetros!$B$5),"")</f>
        <v/>
      </c>
      <c r="E124" s="23" t="str">
        <f t="shared" ca="1" si="32"/>
        <v/>
      </c>
      <c r="F124" s="33" t="str">
        <f ca="1">IF(B124,ABS(IF(E124="INTERVENCIÓN",NORMINV(RAND(),Parámetros!$B$13,Parámetros!$B$14),0)),"")</f>
        <v/>
      </c>
      <c r="G124" s="33" t="str">
        <f t="shared" ca="1" si="33"/>
        <v/>
      </c>
      <c r="H124" s="33" t="str">
        <f t="shared" ca="1" si="34"/>
        <v/>
      </c>
      <c r="I124" s="33" t="str">
        <f t="shared" ca="1" si="35"/>
        <v/>
      </c>
      <c r="J124" s="23" t="str">
        <f t="shared" ca="1" si="36"/>
        <v/>
      </c>
      <c r="K124" s="33" t="str">
        <f t="shared" ca="1" si="37"/>
        <v/>
      </c>
      <c r="L124" s="33" t="str">
        <f ca="1">IF(B124,MIN(Parámetros!$B$5-D124,-Parámetros!$B$12*LN(1-RAND())),"")</f>
        <v/>
      </c>
      <c r="M124" s="33" t="str">
        <f t="shared" ca="1" si="38"/>
        <v/>
      </c>
      <c r="N124" s="22" t="str">
        <f t="shared" ca="1" si="25"/>
        <v>-</v>
      </c>
      <c r="O124" s="22" t="str">
        <f ca="1">IF(E124="INTERVENCIÓN",IF(N124&gt;=Parámetros!$B$7,"SÍ","NO"),"-")</f>
        <v>-</v>
      </c>
      <c r="P124" s="23" t="str">
        <f ca="1">IF(E124="INTERVENCIÓN",IF(N124&gt;=Parámetros!$B$7,CHOOSE(RANDBETWEEN(1,2),"APROBADO","NO APROBADO"),"NO APROBADA - Sin quórum"),"-")</f>
        <v>-</v>
      </c>
    </row>
    <row r="125" spans="1:16" x14ac:dyDescent="0.45">
      <c r="A125" s="23" t="str">
        <f t="shared" ca="1" si="31"/>
        <v/>
      </c>
      <c r="B125" s="23">
        <f ca="1">IF(AND(ISNUMBER(D124),D124&lt;Parámetros!$B$5,ISNUMBER(K124),K124&lt;Parámetros!$B$5,A124&lt;MIN(Parámetros!$B$4,Parámetros!$B$10)),1,0)</f>
        <v>0</v>
      </c>
      <c r="C125" s="33" t="str">
        <f ca="1">IF(B125,-Parámetros!$B$11*LN(1-RAND()),"")</f>
        <v/>
      </c>
      <c r="D125" s="33" t="str">
        <f ca="1">IF(B125,MIN(D124+C125,Parámetros!$B$5),"")</f>
        <v/>
      </c>
      <c r="E125" s="23" t="str">
        <f t="shared" ca="1" si="32"/>
        <v/>
      </c>
      <c r="F125" s="33" t="str">
        <f ca="1">IF(B125,ABS(IF(E125="INTERVENCIÓN",NORMINV(RAND(),Parámetros!$B$13,Parámetros!$B$14),0)),"")</f>
        <v/>
      </c>
      <c r="G125" s="33" t="str">
        <f t="shared" ca="1" si="33"/>
        <v/>
      </c>
      <c r="H125" s="33" t="str">
        <f t="shared" ca="1" si="34"/>
        <v/>
      </c>
      <c r="I125" s="33" t="str">
        <f t="shared" ca="1" si="35"/>
        <v/>
      </c>
      <c r="J125" s="23" t="str">
        <f t="shared" ca="1" si="36"/>
        <v/>
      </c>
      <c r="K125" s="33" t="str">
        <f t="shared" ca="1" si="37"/>
        <v/>
      </c>
      <c r="L125" s="33" t="str">
        <f ca="1">IF(B125,MIN(Parámetros!$B$5-D125,-Parámetros!$B$12*LN(1-RAND())),"")</f>
        <v/>
      </c>
      <c r="M125" s="33" t="str">
        <f t="shared" ca="1" si="38"/>
        <v/>
      </c>
      <c r="N125" s="22" t="str">
        <f t="shared" ca="1" si="25"/>
        <v>-</v>
      </c>
      <c r="O125" s="22" t="str">
        <f ca="1">IF(E125="INTERVENCIÓN",IF(N125&gt;=Parámetros!$B$7,"SÍ","NO"),"-")</f>
        <v>-</v>
      </c>
      <c r="P125" s="23" t="str">
        <f ca="1">IF(E125="INTERVENCIÓN",IF(N125&gt;=Parámetros!$B$7,CHOOSE(RANDBETWEEN(1,2),"APROBADO","NO APROBADO"),"NO APROBADA - Sin quórum"),"-")</f>
        <v>-</v>
      </c>
    </row>
    <row r="126" spans="1:16" x14ac:dyDescent="0.45">
      <c r="A126" s="23" t="str">
        <f t="shared" ca="1" si="31"/>
        <v/>
      </c>
      <c r="B126" s="23">
        <f ca="1">IF(AND(ISNUMBER(D125),D125&lt;Parámetros!$B$5,ISNUMBER(K125),K125&lt;Parámetros!$B$5,A125&lt;MIN(Parámetros!$B$4,Parámetros!$B$10)),1,0)</f>
        <v>0</v>
      </c>
      <c r="C126" s="33" t="str">
        <f ca="1">IF(B126,-Parámetros!$B$11*LN(1-RAND()),"")</f>
        <v/>
      </c>
      <c r="D126" s="33" t="str">
        <f ca="1">IF(B126,MIN(D125+C126,Parámetros!$B$5),"")</f>
        <v/>
      </c>
      <c r="E126" s="23" t="str">
        <f t="shared" ca="1" si="32"/>
        <v/>
      </c>
      <c r="F126" s="33" t="str">
        <f ca="1">IF(B126,ABS(IF(E126="INTERVENCIÓN",NORMINV(RAND(),Parámetros!$B$13,Parámetros!$B$14),0)),"")</f>
        <v/>
      </c>
      <c r="G126" s="33" t="str">
        <f t="shared" ca="1" si="33"/>
        <v/>
      </c>
      <c r="H126" s="33" t="str">
        <f t="shared" ca="1" si="34"/>
        <v/>
      </c>
      <c r="I126" s="33" t="str">
        <f t="shared" ca="1" si="35"/>
        <v/>
      </c>
      <c r="J126" s="23" t="str">
        <f t="shared" ca="1" si="36"/>
        <v/>
      </c>
      <c r="K126" s="33" t="str">
        <f t="shared" ca="1" si="37"/>
        <v/>
      </c>
      <c r="L126" s="33" t="str">
        <f ca="1">IF(B126,MIN(Parámetros!$B$5-D126,-Parámetros!$B$12*LN(1-RAND())),"")</f>
        <v/>
      </c>
      <c r="M126" s="33" t="str">
        <f t="shared" ca="1" si="38"/>
        <v/>
      </c>
      <c r="N126" s="22" t="str">
        <f t="shared" ca="1" si="25"/>
        <v>-</v>
      </c>
      <c r="O126" s="22" t="str">
        <f ca="1">IF(E126="INTERVENCIÓN",IF(N126&gt;=Parámetros!$B$7,"SÍ","NO"),"-")</f>
        <v>-</v>
      </c>
      <c r="P126" s="23" t="str">
        <f ca="1">IF(E126="INTERVENCIÓN",IF(N126&gt;=Parámetros!$B$7,CHOOSE(RANDBETWEEN(1,2),"APROBADO","NO APROBADO"),"NO APROBADA - Sin quórum"),"-")</f>
        <v>-</v>
      </c>
    </row>
    <row r="127" spans="1:16" x14ac:dyDescent="0.45">
      <c r="A127" s="23" t="str">
        <f t="shared" ca="1" si="31"/>
        <v/>
      </c>
      <c r="B127" s="23">
        <f ca="1">IF(AND(ISNUMBER(D126),D126&lt;Parámetros!$B$5,ISNUMBER(K126),K126&lt;Parámetros!$B$5,A126&lt;MIN(Parámetros!$B$4,Parámetros!$B$10)),1,0)</f>
        <v>0</v>
      </c>
      <c r="C127" s="33" t="str">
        <f ca="1">IF(B127,-Parámetros!$B$11*LN(1-RAND()),"")</f>
        <v/>
      </c>
      <c r="D127" s="33" t="str">
        <f ca="1">IF(B127,MIN(D126+C127,Parámetros!$B$5),"")</f>
        <v/>
      </c>
      <c r="E127" s="23" t="str">
        <f t="shared" ca="1" si="32"/>
        <v/>
      </c>
      <c r="F127" s="33" t="str">
        <f ca="1">IF(B127,ABS(IF(E127="INTERVENCIÓN",NORMINV(RAND(),Parámetros!$B$13,Parámetros!$B$14),0)),"")</f>
        <v/>
      </c>
      <c r="G127" s="33" t="str">
        <f t="shared" ca="1" si="33"/>
        <v/>
      </c>
      <c r="H127" s="33" t="str">
        <f t="shared" ca="1" si="34"/>
        <v/>
      </c>
      <c r="I127" s="33" t="str">
        <f t="shared" ca="1" si="35"/>
        <v/>
      </c>
      <c r="J127" s="23" t="str">
        <f t="shared" ca="1" si="36"/>
        <v/>
      </c>
      <c r="K127" s="33" t="str">
        <f t="shared" ca="1" si="37"/>
        <v/>
      </c>
      <c r="L127" s="33" t="str">
        <f ca="1">IF(B127,MIN(Parámetros!$B$5-D127,-Parámetros!$B$12*LN(1-RAND())),"")</f>
        <v/>
      </c>
      <c r="M127" s="33" t="str">
        <f t="shared" ca="1" si="38"/>
        <v/>
      </c>
      <c r="N127" s="22" t="str">
        <f t="shared" ca="1" si="25"/>
        <v>-</v>
      </c>
      <c r="O127" s="22" t="str">
        <f ca="1">IF(E127="INTERVENCIÓN",IF(N127&gt;=Parámetros!$B$7,"SÍ","NO"),"-")</f>
        <v>-</v>
      </c>
      <c r="P127" s="23" t="str">
        <f ca="1">IF(E127="INTERVENCIÓN",IF(N127&gt;=Parámetros!$B$7,CHOOSE(RANDBETWEEN(1,2),"APROBADO","NO APROBADO"),"NO APROBADA - Sin quórum"),"-")</f>
        <v>-</v>
      </c>
    </row>
    <row r="128" spans="1:16" x14ac:dyDescent="0.45">
      <c r="A128" s="23" t="str">
        <f t="shared" ca="1" si="31"/>
        <v/>
      </c>
      <c r="B128" s="23">
        <f ca="1">IF(AND(ISNUMBER(D127),D127&lt;Parámetros!$B$5,ISNUMBER(K127),K127&lt;Parámetros!$B$5,A127&lt;MIN(Parámetros!$B$4,Parámetros!$B$10)),1,0)</f>
        <v>0</v>
      </c>
      <c r="C128" s="33" t="str">
        <f ca="1">IF(B128,-Parámetros!$B$11*LN(1-RAND()),"")</f>
        <v/>
      </c>
      <c r="D128" s="33" t="str">
        <f ca="1">IF(B128,MIN(D127+C128,Parámetros!$B$5),"")</f>
        <v/>
      </c>
      <c r="E128" s="23" t="str">
        <f t="shared" ca="1" si="32"/>
        <v/>
      </c>
      <c r="F128" s="33" t="str">
        <f ca="1">IF(B128,ABS(IF(E128="INTERVENCIÓN",NORMINV(RAND(),Parámetros!$B$13,Parámetros!$B$14),0)),"")</f>
        <v/>
      </c>
      <c r="G128" s="33" t="str">
        <f t="shared" ca="1" si="33"/>
        <v/>
      </c>
      <c r="H128" s="33" t="str">
        <f t="shared" ca="1" si="34"/>
        <v/>
      </c>
      <c r="I128" s="33" t="str">
        <f t="shared" ca="1" si="35"/>
        <v/>
      </c>
      <c r="J128" s="23" t="str">
        <f t="shared" ca="1" si="36"/>
        <v/>
      </c>
      <c r="K128" s="33" t="str">
        <f t="shared" ca="1" si="37"/>
        <v/>
      </c>
      <c r="L128" s="33" t="str">
        <f ca="1">IF(B128,MIN(Parámetros!$B$5-D128,-Parámetros!$B$12*LN(1-RAND())),"")</f>
        <v/>
      </c>
      <c r="M128" s="33" t="str">
        <f t="shared" ca="1" si="38"/>
        <v/>
      </c>
      <c r="N128" s="22" t="str">
        <f t="shared" ca="1" si="25"/>
        <v>-</v>
      </c>
      <c r="O128" s="22" t="str">
        <f ca="1">IF(E128="INTERVENCIÓN",IF(N128&gt;=Parámetros!$B$7,"SÍ","NO"),"-")</f>
        <v>-</v>
      </c>
      <c r="P128" s="23" t="str">
        <f ca="1">IF(E128="INTERVENCIÓN",IF(N128&gt;=Parámetros!$B$7,CHOOSE(RANDBETWEEN(1,2),"APROBADO","NO APROBADO"),"NO APROBADA - Sin quórum"),"-")</f>
        <v>-</v>
      </c>
    </row>
    <row r="129" spans="1:16" x14ac:dyDescent="0.45">
      <c r="A129" s="23" t="str">
        <f t="shared" ca="1" si="31"/>
        <v/>
      </c>
      <c r="B129" s="23">
        <f ca="1">IF(AND(ISNUMBER(D128),D128&lt;Parámetros!$B$5,ISNUMBER(K128),K128&lt;Parámetros!$B$5,A128&lt;MIN(Parámetros!$B$4,Parámetros!$B$10)),1,0)</f>
        <v>0</v>
      </c>
      <c r="C129" s="33" t="str">
        <f ca="1">IF(B129,-Parámetros!$B$11*LN(1-RAND()),"")</f>
        <v/>
      </c>
      <c r="D129" s="33" t="str">
        <f ca="1">IF(B129,MIN(D128+C129,Parámetros!$B$5),"")</f>
        <v/>
      </c>
      <c r="E129" s="23" t="str">
        <f t="shared" ca="1" si="32"/>
        <v/>
      </c>
      <c r="F129" s="33" t="str">
        <f ca="1">IF(B129,ABS(IF(E129="INTERVENCIÓN",NORMINV(RAND(),Parámetros!$B$13,Parámetros!$B$14),0)),"")</f>
        <v/>
      </c>
      <c r="G129" s="33" t="str">
        <f t="shared" ca="1" si="33"/>
        <v/>
      </c>
      <c r="H129" s="33" t="str">
        <f t="shared" ca="1" si="34"/>
        <v/>
      </c>
      <c r="I129" s="33" t="str">
        <f t="shared" ca="1" si="35"/>
        <v/>
      </c>
      <c r="J129" s="23" t="str">
        <f t="shared" ca="1" si="36"/>
        <v/>
      </c>
      <c r="K129" s="33" t="str">
        <f t="shared" ca="1" si="37"/>
        <v/>
      </c>
      <c r="L129" s="33" t="str">
        <f ca="1">IF(B129,MIN(Parámetros!$B$5-D129,-Parámetros!$B$12*LN(1-RAND())),"")</f>
        <v/>
      </c>
      <c r="M129" s="33" t="str">
        <f t="shared" ca="1" si="38"/>
        <v/>
      </c>
      <c r="N129" s="22" t="str">
        <f t="shared" ca="1" si="25"/>
        <v>-</v>
      </c>
      <c r="O129" s="22" t="str">
        <f ca="1">IF(E129="INTERVENCIÓN",IF(N129&gt;=Parámetros!$B$7,"SÍ","NO"),"-")</f>
        <v>-</v>
      </c>
      <c r="P129" s="23" t="str">
        <f ca="1">IF(E129="INTERVENCIÓN",IF(N129&gt;=Parámetros!$B$7,CHOOSE(RANDBETWEEN(1,2),"APROBADO","NO APROBADO"),"NO APROBADA - Sin quórum"),"-")</f>
        <v>-</v>
      </c>
    </row>
    <row r="130" spans="1:16" x14ac:dyDescent="0.45">
      <c r="A130" s="23" t="str">
        <f t="shared" ca="1" si="31"/>
        <v/>
      </c>
      <c r="B130" s="23">
        <f ca="1">IF(AND(ISNUMBER(D129),D129&lt;Parámetros!$B$5,ISNUMBER(K129),K129&lt;Parámetros!$B$5,A129&lt;MIN(Parámetros!$B$4,Parámetros!$B$10)),1,0)</f>
        <v>0</v>
      </c>
      <c r="C130" s="33" t="str">
        <f ca="1">IF(B130,-Parámetros!$B$11*LN(1-RAND()),"")</f>
        <v/>
      </c>
      <c r="D130" s="33" t="str">
        <f ca="1">IF(B130,MIN(D129+C130,Parámetros!$B$5),"")</f>
        <v/>
      </c>
      <c r="E130" s="23" t="str">
        <f t="shared" ca="1" si="32"/>
        <v/>
      </c>
      <c r="F130" s="33" t="str">
        <f ca="1">IF(B130,ABS(IF(E130="INTERVENCIÓN",NORMINV(RAND(),Parámetros!$B$13,Parámetros!$B$14),0)),"")</f>
        <v/>
      </c>
      <c r="G130" s="33" t="str">
        <f t="shared" ca="1" si="33"/>
        <v/>
      </c>
      <c r="H130" s="33" t="str">
        <f t="shared" ca="1" si="34"/>
        <v/>
      </c>
      <c r="I130" s="33" t="str">
        <f t="shared" ca="1" si="35"/>
        <v/>
      </c>
      <c r="J130" s="23" t="str">
        <f t="shared" ca="1" si="36"/>
        <v/>
      </c>
      <c r="K130" s="33" t="str">
        <f t="shared" ca="1" si="37"/>
        <v/>
      </c>
      <c r="L130" s="33" t="str">
        <f ca="1">IF(B130,MIN(Parámetros!$B$5-D130,-Parámetros!$B$12*LN(1-RAND())),"")</f>
        <v/>
      </c>
      <c r="M130" s="33" t="str">
        <f t="shared" ca="1" si="38"/>
        <v/>
      </c>
      <c r="N130" s="22" t="str">
        <f t="shared" ca="1" si="25"/>
        <v>-</v>
      </c>
      <c r="O130" s="22" t="str">
        <f ca="1">IF(E130="INTERVENCIÓN",IF(N130&gt;=Parámetros!$B$7,"SÍ","NO"),"-")</f>
        <v>-</v>
      </c>
      <c r="P130" s="23" t="str">
        <f ca="1">IF(E130="INTERVENCIÓN",IF(N130&gt;=Parámetros!$B$7,CHOOSE(RANDBETWEEN(1,2),"APROBADO","NO APROBADO"),"NO APROBADA - Sin quórum"),"-")</f>
        <v>-</v>
      </c>
    </row>
    <row r="131" spans="1:16" x14ac:dyDescent="0.45">
      <c r="A131" s="23" t="str">
        <f t="shared" ca="1" si="31"/>
        <v/>
      </c>
      <c r="B131" s="23">
        <f ca="1">IF(AND(ISNUMBER(D130),D130&lt;Parámetros!$B$5,ISNUMBER(K130),K130&lt;Parámetros!$B$5,A130&lt;MIN(Parámetros!$B$4,Parámetros!$B$10)),1,0)</f>
        <v>0</v>
      </c>
      <c r="C131" s="33" t="str">
        <f ca="1">IF(B131,-Parámetros!$B$11*LN(1-RAND()),"")</f>
        <v/>
      </c>
      <c r="D131" s="33" t="str">
        <f ca="1">IF(B131,MIN(D130+C131,Parámetros!$B$5),"")</f>
        <v/>
      </c>
      <c r="E131" s="23" t="str">
        <f t="shared" ca="1" si="32"/>
        <v/>
      </c>
      <c r="F131" s="33" t="str">
        <f ca="1">IF(B131,ABS(IF(E131="INTERVENCIÓN",NORMINV(RAND(),Parámetros!$B$13,Parámetros!$B$14),0)),"")</f>
        <v/>
      </c>
      <c r="G131" s="33" t="str">
        <f t="shared" ca="1" si="33"/>
        <v/>
      </c>
      <c r="H131" s="33" t="str">
        <f t="shared" ca="1" si="34"/>
        <v/>
      </c>
      <c r="I131" s="33" t="str">
        <f t="shared" ca="1" si="35"/>
        <v/>
      </c>
      <c r="J131" s="23" t="str">
        <f t="shared" ca="1" si="36"/>
        <v/>
      </c>
      <c r="K131" s="33" t="str">
        <f t="shared" ca="1" si="37"/>
        <v/>
      </c>
      <c r="L131" s="33" t="str">
        <f ca="1">IF(B131,MIN(Parámetros!$B$5-D131,-Parámetros!$B$12*LN(1-RAND())),"")</f>
        <v/>
      </c>
      <c r="M131" s="33" t="str">
        <f t="shared" ca="1" si="38"/>
        <v/>
      </c>
      <c r="N131" s="22" t="str">
        <f t="shared" ca="1" si="25"/>
        <v>-</v>
      </c>
      <c r="O131" s="22" t="str">
        <f ca="1">IF(E131="INTERVENCIÓN",IF(N131&gt;=Parámetros!$B$7,"SÍ","NO"),"-")</f>
        <v>-</v>
      </c>
      <c r="P131" s="23" t="str">
        <f ca="1">IF(E131="INTERVENCIÓN",IF(N131&gt;=Parámetros!$B$7,CHOOSE(RANDBETWEEN(1,2),"APROBADO","NO APROBADO"),"NO APROBADA - Sin quórum"),"-")</f>
        <v>-</v>
      </c>
    </row>
    <row r="132" spans="1:16" x14ac:dyDescent="0.45">
      <c r="A132" s="23" t="str">
        <f t="shared" ca="1" si="31"/>
        <v/>
      </c>
      <c r="B132" s="23">
        <f ca="1">IF(AND(ISNUMBER(D131),D131&lt;Parámetros!$B$5,ISNUMBER(K131),K131&lt;Parámetros!$B$5,A131&lt;MIN(Parámetros!$B$4,Parámetros!$B$10)),1,0)</f>
        <v>0</v>
      </c>
      <c r="C132" s="33" t="str">
        <f ca="1">IF(B132,-Parámetros!$B$11*LN(1-RAND()),"")</f>
        <v/>
      </c>
      <c r="D132" s="33" t="str">
        <f ca="1">IF(B132,MIN(D131+C132,Parámetros!$B$5),"")</f>
        <v/>
      </c>
      <c r="E132" s="23" t="str">
        <f t="shared" ca="1" si="32"/>
        <v/>
      </c>
      <c r="F132" s="33" t="str">
        <f ca="1">IF(B132,ABS(IF(E132="INTERVENCIÓN",NORMINV(RAND(),Parámetros!$B$13,Parámetros!$B$14),0)),"")</f>
        <v/>
      </c>
      <c r="G132" s="33" t="str">
        <f t="shared" ca="1" si="33"/>
        <v/>
      </c>
      <c r="H132" s="33" t="str">
        <f t="shared" ca="1" si="34"/>
        <v/>
      </c>
      <c r="I132" s="33" t="str">
        <f t="shared" ca="1" si="35"/>
        <v/>
      </c>
      <c r="J132" s="23" t="str">
        <f t="shared" ca="1" si="36"/>
        <v/>
      </c>
      <c r="K132" s="33" t="str">
        <f t="shared" ca="1" si="37"/>
        <v/>
      </c>
      <c r="L132" s="33" t="str">
        <f ca="1">IF(B132,MIN(Parámetros!$B$5-D132,-Parámetros!$B$12*LN(1-RAND())),"")</f>
        <v/>
      </c>
      <c r="M132" s="33" t="str">
        <f t="shared" ca="1" si="38"/>
        <v/>
      </c>
      <c r="N132" s="22" t="str">
        <f t="shared" ref="N132:N195" ca="1" si="39">IF(E132="INTERVENCIÓN",COUNTIFS($D$3:$D$102,"&lt;="&amp;D132,$M$3:$M$102,"&gt;="&amp;D132),"-")</f>
        <v>-</v>
      </c>
      <c r="O132" s="22" t="str">
        <f ca="1">IF(E132="INTERVENCIÓN",IF(N132&gt;=Parámetros!$B$7,"SÍ","NO"),"-")</f>
        <v>-</v>
      </c>
      <c r="P132" s="23" t="str">
        <f ca="1">IF(E132="INTERVENCIÓN",IF(N132&gt;=Parámetros!$B$7,CHOOSE(RANDBETWEEN(1,2),"APROBADO","NO APROBADO"),"NO APROBADA - Sin quórum"),"-")</f>
        <v>-</v>
      </c>
    </row>
    <row r="133" spans="1:16" x14ac:dyDescent="0.45">
      <c r="A133" s="23" t="str">
        <f t="shared" ca="1" si="31"/>
        <v/>
      </c>
      <c r="B133" s="23">
        <f ca="1">IF(AND(ISNUMBER(D132),D132&lt;Parámetros!$B$5,ISNUMBER(K132),K132&lt;Parámetros!$B$5,A132&lt;MIN(Parámetros!$B$4,Parámetros!$B$10)),1,0)</f>
        <v>0</v>
      </c>
      <c r="C133" s="33" t="str">
        <f ca="1">IF(B133,-Parámetros!$B$11*LN(1-RAND()),"")</f>
        <v/>
      </c>
      <c r="D133" s="33" t="str">
        <f ca="1">IF(B133,MIN(D132+C133,Parámetros!$B$5),"")</f>
        <v/>
      </c>
      <c r="E133" s="23" t="str">
        <f t="shared" ca="1" si="32"/>
        <v/>
      </c>
      <c r="F133" s="33" t="str">
        <f ca="1">IF(B133,ABS(IF(E133="INTERVENCIÓN",NORMINV(RAND(),Parámetros!$B$13,Parámetros!$B$14),0)),"")</f>
        <v/>
      </c>
      <c r="G133" s="33" t="str">
        <f t="shared" ca="1" si="33"/>
        <v/>
      </c>
      <c r="H133" s="33" t="str">
        <f t="shared" ca="1" si="34"/>
        <v/>
      </c>
      <c r="I133" s="33" t="str">
        <f t="shared" ca="1" si="35"/>
        <v/>
      </c>
      <c r="J133" s="23" t="str">
        <f t="shared" ca="1" si="36"/>
        <v/>
      </c>
      <c r="K133" s="33" t="str">
        <f t="shared" ca="1" si="37"/>
        <v/>
      </c>
      <c r="L133" s="33" t="str">
        <f ca="1">IF(B133,MIN(Parámetros!$B$5-D133,-Parámetros!$B$12*LN(1-RAND())),"")</f>
        <v/>
      </c>
      <c r="M133" s="33" t="str">
        <f t="shared" ca="1" si="38"/>
        <v/>
      </c>
      <c r="N133" s="22" t="str">
        <f t="shared" ca="1" si="39"/>
        <v>-</v>
      </c>
      <c r="O133" s="22" t="str">
        <f ca="1">IF(E133="INTERVENCIÓN",IF(N133&gt;=Parámetros!$B$7,"SÍ","NO"),"-")</f>
        <v>-</v>
      </c>
      <c r="P133" s="23" t="str">
        <f ca="1">IF(E133="INTERVENCIÓN",IF(N133&gt;=Parámetros!$B$7,CHOOSE(RANDBETWEEN(1,2),"APROBADO","NO APROBADO"),"NO APROBADA - Sin quórum"),"-")</f>
        <v>-</v>
      </c>
    </row>
    <row r="134" spans="1:16" x14ac:dyDescent="0.45">
      <c r="A134" s="23" t="str">
        <f t="shared" ca="1" si="31"/>
        <v/>
      </c>
      <c r="B134" s="23">
        <f ca="1">IF(AND(ISNUMBER(D133),D133&lt;Parámetros!$B$5,ISNUMBER(K133),K133&lt;Parámetros!$B$5,A133&lt;MIN(Parámetros!$B$4,Parámetros!$B$10)),1,0)</f>
        <v>0</v>
      </c>
      <c r="C134" s="33" t="str">
        <f ca="1">IF(B134,-Parámetros!$B$11*LN(1-RAND()),"")</f>
        <v/>
      </c>
      <c r="D134" s="33" t="str">
        <f ca="1">IF(B134,MIN(D133+C134,Parámetros!$B$5),"")</f>
        <v/>
      </c>
      <c r="E134" s="23" t="str">
        <f t="shared" ca="1" si="32"/>
        <v/>
      </c>
      <c r="F134" s="33" t="str">
        <f ca="1">IF(B134,ABS(IF(E134="INTERVENCIÓN",NORMINV(RAND(),Parámetros!$B$13,Parámetros!$B$14),0)),"")</f>
        <v/>
      </c>
      <c r="G134" s="33" t="str">
        <f t="shared" ca="1" si="33"/>
        <v/>
      </c>
      <c r="H134" s="33" t="str">
        <f t="shared" ca="1" si="34"/>
        <v/>
      </c>
      <c r="I134" s="33" t="str">
        <f t="shared" ca="1" si="35"/>
        <v/>
      </c>
      <c r="J134" s="23" t="str">
        <f t="shared" ca="1" si="36"/>
        <v/>
      </c>
      <c r="K134" s="33" t="str">
        <f t="shared" ca="1" si="37"/>
        <v/>
      </c>
      <c r="L134" s="33" t="str">
        <f ca="1">IF(B134,MIN(Parámetros!$B$5-D134,-Parámetros!$B$12*LN(1-RAND())),"")</f>
        <v/>
      </c>
      <c r="M134" s="33" t="str">
        <f t="shared" ca="1" si="38"/>
        <v/>
      </c>
      <c r="N134" s="22" t="str">
        <f t="shared" ca="1" si="39"/>
        <v>-</v>
      </c>
      <c r="O134" s="22" t="str">
        <f ca="1">IF(E134="INTERVENCIÓN",IF(N134&gt;=Parámetros!$B$7,"SÍ","NO"),"-")</f>
        <v>-</v>
      </c>
      <c r="P134" s="23" t="str">
        <f ca="1">IF(E134="INTERVENCIÓN",IF(N134&gt;=Parámetros!$B$7,CHOOSE(RANDBETWEEN(1,2),"APROBADO","NO APROBADO"),"NO APROBADA - Sin quórum"),"-")</f>
        <v>-</v>
      </c>
    </row>
    <row r="135" spans="1:16" x14ac:dyDescent="0.45">
      <c r="A135" s="23" t="str">
        <f t="shared" ca="1" si="31"/>
        <v/>
      </c>
      <c r="B135" s="23">
        <f ca="1">IF(AND(ISNUMBER(D134),D134&lt;Parámetros!$B$5,ISNUMBER(K134),K134&lt;Parámetros!$B$5,A134&lt;MIN(Parámetros!$B$4,Parámetros!$B$10)),1,0)</f>
        <v>0</v>
      </c>
      <c r="C135" s="33" t="str">
        <f ca="1">IF(B135,-Parámetros!$B$11*LN(1-RAND()),"")</f>
        <v/>
      </c>
      <c r="D135" s="33" t="str">
        <f ca="1">IF(B135,MIN(D134+C135,Parámetros!$B$5),"")</f>
        <v/>
      </c>
      <c r="E135" s="23" t="str">
        <f t="shared" ca="1" si="32"/>
        <v/>
      </c>
      <c r="F135" s="33" t="str">
        <f ca="1">IF(B135,ABS(IF(E135="INTERVENCIÓN",NORMINV(RAND(),Parámetros!$B$13,Parámetros!$B$14),0)),"")</f>
        <v/>
      </c>
      <c r="G135" s="33" t="str">
        <f t="shared" ca="1" si="33"/>
        <v/>
      </c>
      <c r="H135" s="33" t="str">
        <f t="shared" ca="1" si="34"/>
        <v/>
      </c>
      <c r="I135" s="33" t="str">
        <f t="shared" ca="1" si="35"/>
        <v/>
      </c>
      <c r="J135" s="23" t="str">
        <f t="shared" ca="1" si="36"/>
        <v/>
      </c>
      <c r="K135" s="33" t="str">
        <f t="shared" ca="1" si="37"/>
        <v/>
      </c>
      <c r="L135" s="33" t="str">
        <f ca="1">IF(B135,MIN(Parámetros!$B$5-D135,-Parámetros!$B$12*LN(1-RAND())),"")</f>
        <v/>
      </c>
      <c r="M135" s="33" t="str">
        <f t="shared" ca="1" si="38"/>
        <v/>
      </c>
      <c r="N135" s="22" t="str">
        <f t="shared" ca="1" si="39"/>
        <v>-</v>
      </c>
      <c r="O135" s="22" t="str">
        <f ca="1">IF(E135="INTERVENCIÓN",IF(N135&gt;=Parámetros!$B$7,"SÍ","NO"),"-")</f>
        <v>-</v>
      </c>
      <c r="P135" s="23" t="str">
        <f ca="1">IF(E135="INTERVENCIÓN",IF(N135&gt;=Parámetros!$B$7,CHOOSE(RANDBETWEEN(1,2),"APROBADO","NO APROBADO"),"NO APROBADA - Sin quórum"),"-")</f>
        <v>-</v>
      </c>
    </row>
    <row r="136" spans="1:16" x14ac:dyDescent="0.45">
      <c r="A136" s="23" t="str">
        <f t="shared" ca="1" si="31"/>
        <v/>
      </c>
      <c r="B136" s="23">
        <f ca="1">IF(AND(ISNUMBER(D135),D135&lt;Parámetros!$B$5,ISNUMBER(K135),K135&lt;Parámetros!$B$5,A135&lt;MIN(Parámetros!$B$4,Parámetros!$B$10)),1,0)</f>
        <v>0</v>
      </c>
      <c r="C136" s="33" t="str">
        <f ca="1">IF(B136,-Parámetros!$B$11*LN(1-RAND()),"")</f>
        <v/>
      </c>
      <c r="D136" s="33" t="str">
        <f ca="1">IF(B136,MIN(D135+C136,Parámetros!$B$5),"")</f>
        <v/>
      </c>
      <c r="E136" s="23" t="str">
        <f t="shared" ca="1" si="32"/>
        <v/>
      </c>
      <c r="F136" s="33" t="str">
        <f ca="1">IF(B136,ABS(IF(E136="INTERVENCIÓN",NORMINV(RAND(),Parámetros!$B$13,Parámetros!$B$14),0)),"")</f>
        <v/>
      </c>
      <c r="G136" s="33" t="str">
        <f t="shared" ca="1" si="33"/>
        <v/>
      </c>
      <c r="H136" s="33" t="str">
        <f t="shared" ca="1" si="34"/>
        <v/>
      </c>
      <c r="I136" s="33" t="str">
        <f t="shared" ca="1" si="35"/>
        <v/>
      </c>
      <c r="J136" s="23" t="str">
        <f t="shared" ca="1" si="36"/>
        <v/>
      </c>
      <c r="K136" s="33" t="str">
        <f t="shared" ca="1" si="37"/>
        <v/>
      </c>
      <c r="L136" s="33" t="str">
        <f ca="1">IF(B136,MIN(Parámetros!$B$5-D136,-Parámetros!$B$12*LN(1-RAND())),"")</f>
        <v/>
      </c>
      <c r="M136" s="33" t="str">
        <f t="shared" ca="1" si="38"/>
        <v/>
      </c>
      <c r="N136" s="22" t="str">
        <f t="shared" ca="1" si="39"/>
        <v>-</v>
      </c>
      <c r="O136" s="22" t="str">
        <f ca="1">IF(E136="INTERVENCIÓN",IF(N136&gt;=Parámetros!$B$7,"SÍ","NO"),"-")</f>
        <v>-</v>
      </c>
      <c r="P136" s="23" t="str">
        <f ca="1">IF(E136="INTERVENCIÓN",IF(N136&gt;=Parámetros!$B$7,CHOOSE(RANDBETWEEN(1,2),"APROBADO","NO APROBADO"),"NO APROBADA - Sin quórum"),"-")</f>
        <v>-</v>
      </c>
    </row>
    <row r="137" spans="1:16" x14ac:dyDescent="0.45">
      <c r="A137" s="23" t="str">
        <f t="shared" ca="1" si="31"/>
        <v/>
      </c>
      <c r="B137" s="23">
        <f ca="1">IF(AND(ISNUMBER(D136),D136&lt;Parámetros!$B$5,ISNUMBER(K136),K136&lt;Parámetros!$B$5,A136&lt;MIN(Parámetros!$B$4,Parámetros!$B$10)),1,0)</f>
        <v>0</v>
      </c>
      <c r="C137" s="33" t="str">
        <f ca="1">IF(B137,-Parámetros!$B$11*LN(1-RAND()),"")</f>
        <v/>
      </c>
      <c r="D137" s="33" t="str">
        <f ca="1">IF(B137,MIN(D136+C137,Parámetros!$B$5),"")</f>
        <v/>
      </c>
      <c r="E137" s="23" t="str">
        <f t="shared" ca="1" si="32"/>
        <v/>
      </c>
      <c r="F137" s="33" t="str">
        <f ca="1">IF(B137,ABS(IF(E137="INTERVENCIÓN",NORMINV(RAND(),Parámetros!$B$13,Parámetros!$B$14),0)),"")</f>
        <v/>
      </c>
      <c r="G137" s="33" t="str">
        <f t="shared" ca="1" si="33"/>
        <v/>
      </c>
      <c r="H137" s="33" t="str">
        <f t="shared" ca="1" si="34"/>
        <v/>
      </c>
      <c r="I137" s="33" t="str">
        <f t="shared" ca="1" si="35"/>
        <v/>
      </c>
      <c r="J137" s="23" t="str">
        <f t="shared" ca="1" si="36"/>
        <v/>
      </c>
      <c r="K137" s="33" t="str">
        <f t="shared" ca="1" si="37"/>
        <v/>
      </c>
      <c r="L137" s="33" t="str">
        <f ca="1">IF(B137,MIN(Parámetros!$B$5-D137,-Parámetros!$B$12*LN(1-RAND())),"")</f>
        <v/>
      </c>
      <c r="M137" s="33" t="str">
        <f t="shared" ca="1" si="38"/>
        <v/>
      </c>
      <c r="N137" s="22" t="str">
        <f t="shared" ca="1" si="39"/>
        <v>-</v>
      </c>
      <c r="O137" s="22" t="str">
        <f ca="1">IF(E137="INTERVENCIÓN",IF(N137&gt;=Parámetros!$B$7,"SÍ","NO"),"-")</f>
        <v>-</v>
      </c>
      <c r="P137" s="23" t="str">
        <f ca="1">IF(E137="INTERVENCIÓN",IF(N137&gt;=Parámetros!$B$7,CHOOSE(RANDBETWEEN(1,2),"APROBADO","NO APROBADO"),"NO APROBADA - Sin quórum"),"-")</f>
        <v>-</v>
      </c>
    </row>
    <row r="138" spans="1:16" x14ac:dyDescent="0.45">
      <c r="A138" s="23" t="str">
        <f t="shared" ca="1" si="31"/>
        <v/>
      </c>
      <c r="B138" s="23">
        <f ca="1">IF(AND(ISNUMBER(D137),D137&lt;Parámetros!$B$5,ISNUMBER(K137),K137&lt;Parámetros!$B$5,A137&lt;MIN(Parámetros!$B$4,Parámetros!$B$10)),1,0)</f>
        <v>0</v>
      </c>
      <c r="C138" s="33" t="str">
        <f ca="1">IF(B138,-Parámetros!$B$11*LN(1-RAND()),"")</f>
        <v/>
      </c>
      <c r="D138" s="33" t="str">
        <f ca="1">IF(B138,MIN(D137+C138,Parámetros!$B$5),"")</f>
        <v/>
      </c>
      <c r="E138" s="23" t="str">
        <f t="shared" ca="1" si="32"/>
        <v/>
      </c>
      <c r="F138" s="33" t="str">
        <f ca="1">IF(B138,ABS(IF(E138="INTERVENCIÓN",NORMINV(RAND(),Parámetros!$B$13,Parámetros!$B$14),0)),"")</f>
        <v/>
      </c>
      <c r="G138" s="33" t="str">
        <f t="shared" ca="1" si="33"/>
        <v/>
      </c>
      <c r="H138" s="33" t="str">
        <f t="shared" ca="1" si="34"/>
        <v/>
      </c>
      <c r="I138" s="33" t="str">
        <f t="shared" ca="1" si="35"/>
        <v/>
      </c>
      <c r="J138" s="23" t="str">
        <f t="shared" ca="1" si="36"/>
        <v/>
      </c>
      <c r="K138" s="33" t="str">
        <f t="shared" ca="1" si="37"/>
        <v/>
      </c>
      <c r="L138" s="33" t="str">
        <f ca="1">IF(B138,MIN(Parámetros!$B$5-D138,-Parámetros!$B$12*LN(1-RAND())),"")</f>
        <v/>
      </c>
      <c r="M138" s="33" t="str">
        <f t="shared" ca="1" si="38"/>
        <v/>
      </c>
      <c r="N138" s="22" t="str">
        <f t="shared" ca="1" si="39"/>
        <v>-</v>
      </c>
      <c r="O138" s="22" t="str">
        <f ca="1">IF(E138="INTERVENCIÓN",IF(N138&gt;=Parámetros!$B$7,"SÍ","NO"),"-")</f>
        <v>-</v>
      </c>
      <c r="P138" s="23" t="str">
        <f ca="1">IF(E138="INTERVENCIÓN",IF(N138&gt;=Parámetros!$B$7,CHOOSE(RANDBETWEEN(1,2),"APROBADO","NO APROBADO"),"NO APROBADA - Sin quórum"),"-")</f>
        <v>-</v>
      </c>
    </row>
    <row r="139" spans="1:16" x14ac:dyDescent="0.45">
      <c r="A139" s="23" t="str">
        <f t="shared" ca="1" si="31"/>
        <v/>
      </c>
      <c r="B139" s="23">
        <f ca="1">IF(AND(ISNUMBER(D138),D138&lt;Parámetros!$B$5,ISNUMBER(K138),K138&lt;Parámetros!$B$5,A138&lt;MIN(Parámetros!$B$4,Parámetros!$B$10)),1,0)</f>
        <v>0</v>
      </c>
      <c r="C139" s="33" t="str">
        <f ca="1">IF(B139,-Parámetros!$B$11*LN(1-RAND()),"")</f>
        <v/>
      </c>
      <c r="D139" s="33" t="str">
        <f ca="1">IF(B139,MIN(D138+C139,Parámetros!$B$5),"")</f>
        <v/>
      </c>
      <c r="E139" s="23" t="str">
        <f t="shared" ca="1" si="32"/>
        <v/>
      </c>
      <c r="F139" s="33" t="str">
        <f ca="1">IF(B139,ABS(IF(E139="INTERVENCIÓN",NORMINV(RAND(),Parámetros!$B$13,Parámetros!$B$14),0)),"")</f>
        <v/>
      </c>
      <c r="G139" s="33" t="str">
        <f t="shared" ca="1" si="33"/>
        <v/>
      </c>
      <c r="H139" s="33" t="str">
        <f t="shared" ca="1" si="34"/>
        <v/>
      </c>
      <c r="I139" s="33" t="str">
        <f t="shared" ca="1" si="35"/>
        <v/>
      </c>
      <c r="J139" s="23" t="str">
        <f t="shared" ca="1" si="36"/>
        <v/>
      </c>
      <c r="K139" s="33" t="str">
        <f t="shared" ca="1" si="37"/>
        <v/>
      </c>
      <c r="L139" s="33" t="str">
        <f ca="1">IF(B139,MIN(Parámetros!$B$5-D139,-Parámetros!$B$12*LN(1-RAND())),"")</f>
        <v/>
      </c>
      <c r="M139" s="33" t="str">
        <f t="shared" ca="1" si="38"/>
        <v/>
      </c>
      <c r="N139" s="22" t="str">
        <f t="shared" ca="1" si="39"/>
        <v>-</v>
      </c>
      <c r="O139" s="22" t="str">
        <f ca="1">IF(E139="INTERVENCIÓN",IF(N139&gt;=Parámetros!$B$7,"SÍ","NO"),"-")</f>
        <v>-</v>
      </c>
      <c r="P139" s="23" t="str">
        <f ca="1">IF(E139="INTERVENCIÓN",IF(N139&gt;=Parámetros!$B$7,CHOOSE(RANDBETWEEN(1,2),"APROBADO","NO APROBADO"),"NO APROBADA - Sin quórum"),"-")</f>
        <v>-</v>
      </c>
    </row>
    <row r="140" spans="1:16" x14ac:dyDescent="0.45">
      <c r="A140" s="23" t="str">
        <f t="shared" ca="1" si="31"/>
        <v/>
      </c>
      <c r="B140" s="23">
        <f ca="1">IF(AND(ISNUMBER(D139),D139&lt;Parámetros!$B$5,ISNUMBER(K139),K139&lt;Parámetros!$B$5,A139&lt;MIN(Parámetros!$B$4,Parámetros!$B$10)),1,0)</f>
        <v>0</v>
      </c>
      <c r="C140" s="33" t="str">
        <f ca="1">IF(B140,-Parámetros!$B$11*LN(1-RAND()),"")</f>
        <v/>
      </c>
      <c r="D140" s="33" t="str">
        <f ca="1">IF(B140,MIN(D139+C140,Parámetros!$B$5),"")</f>
        <v/>
      </c>
      <c r="E140" s="23" t="str">
        <f t="shared" ca="1" si="32"/>
        <v/>
      </c>
      <c r="F140" s="33" t="str">
        <f ca="1">IF(B140,ABS(IF(E140="INTERVENCIÓN",NORMINV(RAND(),Parámetros!$B$13,Parámetros!$B$14),0)),"")</f>
        <v/>
      </c>
      <c r="G140" s="33" t="str">
        <f t="shared" ca="1" si="33"/>
        <v/>
      </c>
      <c r="H140" s="33" t="str">
        <f t="shared" ca="1" si="34"/>
        <v/>
      </c>
      <c r="I140" s="33" t="str">
        <f t="shared" ca="1" si="35"/>
        <v/>
      </c>
      <c r="J140" s="23" t="str">
        <f t="shared" ca="1" si="36"/>
        <v/>
      </c>
      <c r="K140" s="33" t="str">
        <f t="shared" ca="1" si="37"/>
        <v/>
      </c>
      <c r="L140" s="33" t="str">
        <f ca="1">IF(B140,MIN(Parámetros!$B$5-D140,-Parámetros!$B$12*LN(1-RAND())),"")</f>
        <v/>
      </c>
      <c r="M140" s="33" t="str">
        <f t="shared" ca="1" si="38"/>
        <v/>
      </c>
      <c r="N140" s="22" t="str">
        <f t="shared" ca="1" si="39"/>
        <v>-</v>
      </c>
      <c r="O140" s="22" t="str">
        <f ca="1">IF(E140="INTERVENCIÓN",IF(N140&gt;=Parámetros!$B$7,"SÍ","NO"),"-")</f>
        <v>-</v>
      </c>
      <c r="P140" s="23" t="str">
        <f ca="1">IF(E140="INTERVENCIÓN",IF(N140&gt;=Parámetros!$B$7,CHOOSE(RANDBETWEEN(1,2),"APROBADO","NO APROBADO"),"NO APROBADA - Sin quórum"),"-")</f>
        <v>-</v>
      </c>
    </row>
    <row r="141" spans="1:16" x14ac:dyDescent="0.45">
      <c r="A141" s="23" t="str">
        <f t="shared" ca="1" si="31"/>
        <v/>
      </c>
      <c r="B141" s="23">
        <f ca="1">IF(AND(ISNUMBER(D140),D140&lt;Parámetros!$B$5,ISNUMBER(K140),K140&lt;Parámetros!$B$5,A140&lt;MIN(Parámetros!$B$4,Parámetros!$B$10)),1,0)</f>
        <v>0</v>
      </c>
      <c r="C141" s="33" t="str">
        <f ca="1">IF(B141,-Parámetros!$B$11*LN(1-RAND()),"")</f>
        <v/>
      </c>
      <c r="D141" s="33" t="str">
        <f ca="1">IF(B141,MIN(D140+C141,Parámetros!$B$5),"")</f>
        <v/>
      </c>
      <c r="E141" s="23" t="str">
        <f t="shared" ca="1" si="32"/>
        <v/>
      </c>
      <c r="F141" s="33" t="str">
        <f ca="1">IF(B141,ABS(IF(E141="INTERVENCIÓN",NORMINV(RAND(),Parámetros!$B$13,Parámetros!$B$14),0)),"")</f>
        <v/>
      </c>
      <c r="G141" s="33" t="str">
        <f t="shared" ca="1" si="33"/>
        <v/>
      </c>
      <c r="H141" s="33" t="str">
        <f t="shared" ca="1" si="34"/>
        <v/>
      </c>
      <c r="I141" s="33" t="str">
        <f t="shared" ca="1" si="35"/>
        <v/>
      </c>
      <c r="J141" s="23" t="str">
        <f t="shared" ca="1" si="36"/>
        <v/>
      </c>
      <c r="K141" s="33" t="str">
        <f t="shared" ca="1" si="37"/>
        <v/>
      </c>
      <c r="L141" s="33" t="str">
        <f ca="1">IF(B141,MIN(Parámetros!$B$5-D141,-Parámetros!$B$12*LN(1-RAND())),"")</f>
        <v/>
      </c>
      <c r="M141" s="33" t="str">
        <f t="shared" ca="1" si="38"/>
        <v/>
      </c>
      <c r="N141" s="22" t="str">
        <f t="shared" ca="1" si="39"/>
        <v>-</v>
      </c>
      <c r="O141" s="22" t="str">
        <f ca="1">IF(E141="INTERVENCIÓN",IF(N141&gt;=Parámetros!$B$7,"SÍ","NO"),"-")</f>
        <v>-</v>
      </c>
      <c r="P141" s="23" t="str">
        <f ca="1">IF(E141="INTERVENCIÓN",IF(N141&gt;=Parámetros!$B$7,CHOOSE(RANDBETWEEN(1,2),"APROBADO","NO APROBADO"),"NO APROBADA - Sin quórum"),"-")</f>
        <v>-</v>
      </c>
    </row>
    <row r="142" spans="1:16" x14ac:dyDescent="0.45">
      <c r="A142" s="23" t="str">
        <f t="shared" ca="1" si="31"/>
        <v/>
      </c>
      <c r="B142" s="23">
        <f ca="1">IF(AND(ISNUMBER(D141),D141&lt;Parámetros!$B$5,ISNUMBER(K141),K141&lt;Parámetros!$B$5,A141&lt;MIN(Parámetros!$B$4,Parámetros!$B$10)),1,0)</f>
        <v>0</v>
      </c>
      <c r="C142" s="33" t="str">
        <f ca="1">IF(B142,-Parámetros!$B$11*LN(1-RAND()),"")</f>
        <v/>
      </c>
      <c r="D142" s="33" t="str">
        <f ca="1">IF(B142,MIN(D141+C142,Parámetros!$B$5),"")</f>
        <v/>
      </c>
      <c r="E142" s="23" t="str">
        <f t="shared" ca="1" si="32"/>
        <v/>
      </c>
      <c r="F142" s="33" t="str">
        <f ca="1">IF(B142,ABS(IF(E142="INTERVENCIÓN",NORMINV(RAND(),Parámetros!$B$13,Parámetros!$B$14),0)),"")</f>
        <v/>
      </c>
      <c r="G142" s="33" t="str">
        <f t="shared" ca="1" si="33"/>
        <v/>
      </c>
      <c r="H142" s="33" t="str">
        <f t="shared" ca="1" si="34"/>
        <v/>
      </c>
      <c r="I142" s="33" t="str">
        <f t="shared" ca="1" si="35"/>
        <v/>
      </c>
      <c r="J142" s="23" t="str">
        <f t="shared" ca="1" si="36"/>
        <v/>
      </c>
      <c r="K142" s="33" t="str">
        <f t="shared" ca="1" si="37"/>
        <v/>
      </c>
      <c r="L142" s="33" t="str">
        <f ca="1">IF(B142,MIN(Parámetros!$B$5-D142,-Parámetros!$B$12*LN(1-RAND())),"")</f>
        <v/>
      </c>
      <c r="M142" s="33" t="str">
        <f t="shared" ca="1" si="38"/>
        <v/>
      </c>
      <c r="N142" s="22" t="str">
        <f t="shared" ca="1" si="39"/>
        <v>-</v>
      </c>
      <c r="O142" s="22" t="str">
        <f ca="1">IF(E142="INTERVENCIÓN",IF(N142&gt;=Parámetros!$B$7,"SÍ","NO"),"-")</f>
        <v>-</v>
      </c>
      <c r="P142" s="23" t="str">
        <f ca="1">IF(E142="INTERVENCIÓN",IF(N142&gt;=Parámetros!$B$7,CHOOSE(RANDBETWEEN(1,2),"APROBADO","NO APROBADO"),"NO APROBADA - Sin quórum"),"-")</f>
        <v>-</v>
      </c>
    </row>
    <row r="143" spans="1:16" x14ac:dyDescent="0.45">
      <c r="A143" s="23" t="str">
        <f t="shared" ca="1" si="31"/>
        <v/>
      </c>
      <c r="B143" s="23">
        <f ca="1">IF(AND(ISNUMBER(D142),D142&lt;Parámetros!$B$5,ISNUMBER(K142),K142&lt;Parámetros!$B$5,A142&lt;MIN(Parámetros!$B$4,Parámetros!$B$10)),1,0)</f>
        <v>0</v>
      </c>
      <c r="C143" s="33" t="str">
        <f ca="1">IF(B143,-Parámetros!$B$11*LN(1-RAND()),"")</f>
        <v/>
      </c>
      <c r="D143" s="33" t="str">
        <f ca="1">IF(B143,MIN(D142+C143,Parámetros!$B$5),"")</f>
        <v/>
      </c>
      <c r="E143" s="23" t="str">
        <f t="shared" ca="1" si="32"/>
        <v/>
      </c>
      <c r="F143" s="33" t="str">
        <f ca="1">IF(B143,ABS(IF(E143="INTERVENCIÓN",NORMINV(RAND(),Parámetros!$B$13,Parámetros!$B$14),0)),"")</f>
        <v/>
      </c>
      <c r="G143" s="33" t="str">
        <f t="shared" ca="1" si="33"/>
        <v/>
      </c>
      <c r="H143" s="33" t="str">
        <f t="shared" ca="1" si="34"/>
        <v/>
      </c>
      <c r="I143" s="33" t="str">
        <f t="shared" ca="1" si="35"/>
        <v/>
      </c>
      <c r="J143" s="23" t="str">
        <f t="shared" ca="1" si="36"/>
        <v/>
      </c>
      <c r="K143" s="33" t="str">
        <f t="shared" ca="1" si="37"/>
        <v/>
      </c>
      <c r="L143" s="33" t="str">
        <f ca="1">IF(B143,MIN(Parámetros!$B$5-D143,-Parámetros!$B$12*LN(1-RAND())),"")</f>
        <v/>
      </c>
      <c r="M143" s="33" t="str">
        <f t="shared" ca="1" si="38"/>
        <v/>
      </c>
      <c r="N143" s="22" t="str">
        <f t="shared" ca="1" si="39"/>
        <v>-</v>
      </c>
      <c r="O143" s="22" t="str">
        <f ca="1">IF(E143="INTERVENCIÓN",IF(N143&gt;=Parámetros!$B$7,"SÍ","NO"),"-")</f>
        <v>-</v>
      </c>
      <c r="P143" s="23" t="str">
        <f ca="1">IF(E143="INTERVENCIÓN",IF(N143&gt;=Parámetros!$B$7,CHOOSE(RANDBETWEEN(1,2),"APROBADO","NO APROBADO"),"NO APROBADA - Sin quórum"),"-")</f>
        <v>-</v>
      </c>
    </row>
    <row r="144" spans="1:16" x14ac:dyDescent="0.45">
      <c r="A144" s="23" t="str">
        <f t="shared" ca="1" si="31"/>
        <v/>
      </c>
      <c r="B144" s="23">
        <f ca="1">IF(AND(ISNUMBER(D143),D143&lt;Parámetros!$B$5,ISNUMBER(K143),K143&lt;Parámetros!$B$5,A143&lt;MIN(Parámetros!$B$4,Parámetros!$B$10)),1,0)</f>
        <v>0</v>
      </c>
      <c r="C144" s="33" t="str">
        <f ca="1">IF(B144,-Parámetros!$B$11*LN(1-RAND()),"")</f>
        <v/>
      </c>
      <c r="D144" s="33" t="str">
        <f ca="1">IF(B144,MIN(D143+C144,Parámetros!$B$5),"")</f>
        <v/>
      </c>
      <c r="E144" s="23" t="str">
        <f t="shared" ca="1" si="32"/>
        <v/>
      </c>
      <c r="F144" s="33" t="str">
        <f ca="1">IF(B144,ABS(IF(E144="INTERVENCIÓN",NORMINV(RAND(),Parámetros!$B$13,Parámetros!$B$14),0)),"")</f>
        <v/>
      </c>
      <c r="G144" s="33" t="str">
        <f t="shared" ca="1" si="33"/>
        <v/>
      </c>
      <c r="H144" s="33" t="str">
        <f t="shared" ca="1" si="34"/>
        <v/>
      </c>
      <c r="I144" s="33" t="str">
        <f t="shared" ca="1" si="35"/>
        <v/>
      </c>
      <c r="J144" s="23" t="str">
        <f t="shared" ca="1" si="36"/>
        <v/>
      </c>
      <c r="K144" s="33" t="str">
        <f t="shared" ca="1" si="37"/>
        <v/>
      </c>
      <c r="L144" s="33" t="str">
        <f ca="1">IF(B144,MIN(Parámetros!$B$5-D144,-Parámetros!$B$12*LN(1-RAND())),"")</f>
        <v/>
      </c>
      <c r="M144" s="33" t="str">
        <f t="shared" ca="1" si="38"/>
        <v/>
      </c>
      <c r="N144" s="22" t="str">
        <f t="shared" ca="1" si="39"/>
        <v>-</v>
      </c>
      <c r="O144" s="22" t="str">
        <f ca="1">IF(E144="INTERVENCIÓN",IF(N144&gt;=Parámetros!$B$7,"SÍ","NO"),"-")</f>
        <v>-</v>
      </c>
      <c r="P144" s="23" t="str">
        <f ca="1">IF(E144="INTERVENCIÓN",IF(N144&gt;=Parámetros!$B$7,CHOOSE(RANDBETWEEN(1,2),"APROBADO","NO APROBADO"),"NO APROBADA - Sin quórum"),"-")</f>
        <v>-</v>
      </c>
    </row>
    <row r="145" spans="1:16" x14ac:dyDescent="0.45">
      <c r="A145" s="23" t="str">
        <f t="shared" ca="1" si="31"/>
        <v/>
      </c>
      <c r="B145" s="23">
        <f ca="1">IF(AND(ISNUMBER(D144),D144&lt;Parámetros!$B$5,ISNUMBER(K144),K144&lt;Parámetros!$B$5,A144&lt;MIN(Parámetros!$B$4,Parámetros!$B$10)),1,0)</f>
        <v>0</v>
      </c>
      <c r="C145" s="33" t="str">
        <f ca="1">IF(B145,-Parámetros!$B$11*LN(1-RAND()),"")</f>
        <v/>
      </c>
      <c r="D145" s="33" t="str">
        <f ca="1">IF(B145,MIN(D144+C145,Parámetros!$B$5),"")</f>
        <v/>
      </c>
      <c r="E145" s="23" t="str">
        <f t="shared" ca="1" si="32"/>
        <v/>
      </c>
      <c r="F145" s="33" t="str">
        <f ca="1">IF(B145,ABS(IF(E145="INTERVENCIÓN",NORMINV(RAND(),Parámetros!$B$13,Parámetros!$B$14),0)),"")</f>
        <v/>
      </c>
      <c r="G145" s="33" t="str">
        <f t="shared" ca="1" si="33"/>
        <v/>
      </c>
      <c r="H145" s="33" t="str">
        <f t="shared" ca="1" si="34"/>
        <v/>
      </c>
      <c r="I145" s="33" t="str">
        <f t="shared" ca="1" si="35"/>
        <v/>
      </c>
      <c r="J145" s="23" t="str">
        <f t="shared" ca="1" si="36"/>
        <v/>
      </c>
      <c r="K145" s="33" t="str">
        <f t="shared" ca="1" si="37"/>
        <v/>
      </c>
      <c r="L145" s="33" t="str">
        <f ca="1">IF(B145,MIN(Parámetros!$B$5-D145,-Parámetros!$B$12*LN(1-RAND())),"")</f>
        <v/>
      </c>
      <c r="M145" s="33" t="str">
        <f t="shared" ca="1" si="38"/>
        <v/>
      </c>
      <c r="N145" s="22" t="str">
        <f t="shared" ca="1" si="39"/>
        <v>-</v>
      </c>
      <c r="O145" s="22" t="str">
        <f ca="1">IF(E145="INTERVENCIÓN",IF(N145&gt;=Parámetros!$B$7,"SÍ","NO"),"-")</f>
        <v>-</v>
      </c>
      <c r="P145" s="23" t="str">
        <f ca="1">IF(E145="INTERVENCIÓN",IF(N145&gt;=Parámetros!$B$7,CHOOSE(RANDBETWEEN(1,2),"APROBADO","NO APROBADO"),"NO APROBADA - Sin quórum"),"-")</f>
        <v>-</v>
      </c>
    </row>
    <row r="146" spans="1:16" x14ac:dyDescent="0.45">
      <c r="A146" s="23" t="str">
        <f t="shared" ca="1" si="31"/>
        <v/>
      </c>
      <c r="B146" s="23">
        <f ca="1">IF(AND(ISNUMBER(D145),D145&lt;Parámetros!$B$5,ISNUMBER(K145),K145&lt;Parámetros!$B$5,A145&lt;MIN(Parámetros!$B$4,Parámetros!$B$10)),1,0)</f>
        <v>0</v>
      </c>
      <c r="C146" s="33" t="str">
        <f ca="1">IF(B146,-Parámetros!$B$11*LN(1-RAND()),"")</f>
        <v/>
      </c>
      <c r="D146" s="33" t="str">
        <f ca="1">IF(B146,MIN(D145+C146,Parámetros!$B$5),"")</f>
        <v/>
      </c>
      <c r="E146" s="23" t="str">
        <f t="shared" ca="1" si="32"/>
        <v/>
      </c>
      <c r="F146" s="33" t="str">
        <f ca="1">IF(B146,ABS(IF(E146="INTERVENCIÓN",NORMINV(RAND(),Parámetros!$B$13,Parámetros!$B$14),0)),"")</f>
        <v/>
      </c>
      <c r="G146" s="33" t="str">
        <f t="shared" ca="1" si="33"/>
        <v/>
      </c>
      <c r="H146" s="33" t="str">
        <f t="shared" ca="1" si="34"/>
        <v/>
      </c>
      <c r="I146" s="33" t="str">
        <f t="shared" ca="1" si="35"/>
        <v/>
      </c>
      <c r="J146" s="23" t="str">
        <f t="shared" ca="1" si="36"/>
        <v/>
      </c>
      <c r="K146" s="33" t="str">
        <f t="shared" ca="1" si="37"/>
        <v/>
      </c>
      <c r="L146" s="33" t="str">
        <f ca="1">IF(B146,MIN(Parámetros!$B$5-D146,-Parámetros!$B$12*LN(1-RAND())),"")</f>
        <v/>
      </c>
      <c r="M146" s="33" t="str">
        <f t="shared" ca="1" si="38"/>
        <v/>
      </c>
      <c r="N146" s="22" t="str">
        <f t="shared" ca="1" si="39"/>
        <v>-</v>
      </c>
      <c r="O146" s="22" t="str">
        <f ca="1">IF(E146="INTERVENCIÓN",IF(N146&gt;=Parámetros!$B$7,"SÍ","NO"),"-")</f>
        <v>-</v>
      </c>
      <c r="P146" s="23" t="str">
        <f ca="1">IF(E146="INTERVENCIÓN",IF(N146&gt;=Parámetros!$B$7,CHOOSE(RANDBETWEEN(1,2),"APROBADO","NO APROBADO"),"NO APROBADA - Sin quórum"),"-")</f>
        <v>-</v>
      </c>
    </row>
    <row r="147" spans="1:16" x14ac:dyDescent="0.45">
      <c r="A147" s="23" t="str">
        <f t="shared" ca="1" si="31"/>
        <v/>
      </c>
      <c r="B147" s="23">
        <f ca="1">IF(AND(ISNUMBER(D146),D146&lt;Parámetros!$B$5,ISNUMBER(K146),K146&lt;Parámetros!$B$5,A146&lt;MIN(Parámetros!$B$4,Parámetros!$B$10)),1,0)</f>
        <v>0</v>
      </c>
      <c r="C147" s="33" t="str">
        <f ca="1">IF(B147,-Parámetros!$B$11*LN(1-RAND()),"")</f>
        <v/>
      </c>
      <c r="D147" s="33" t="str">
        <f ca="1">IF(B147,MIN(D146+C147,Parámetros!$B$5),"")</f>
        <v/>
      </c>
      <c r="E147" s="23" t="str">
        <f t="shared" ca="1" si="32"/>
        <v/>
      </c>
      <c r="F147" s="33" t="str">
        <f ca="1">IF(B147,ABS(IF(E147="INTERVENCIÓN",NORMINV(RAND(),Parámetros!$B$13,Parámetros!$B$14),0)),"")</f>
        <v/>
      </c>
      <c r="G147" s="33" t="str">
        <f t="shared" ca="1" si="33"/>
        <v/>
      </c>
      <c r="H147" s="33" t="str">
        <f t="shared" ca="1" si="34"/>
        <v/>
      </c>
      <c r="I147" s="33" t="str">
        <f t="shared" ca="1" si="35"/>
        <v/>
      </c>
      <c r="J147" s="23" t="str">
        <f t="shared" ca="1" si="36"/>
        <v/>
      </c>
      <c r="K147" s="33" t="str">
        <f t="shared" ca="1" si="37"/>
        <v/>
      </c>
      <c r="L147" s="33" t="str">
        <f ca="1">IF(B147,MIN(Parámetros!$B$5-D147,-Parámetros!$B$12*LN(1-RAND())),"")</f>
        <v/>
      </c>
      <c r="M147" s="33" t="str">
        <f t="shared" ca="1" si="38"/>
        <v/>
      </c>
      <c r="N147" s="22" t="str">
        <f t="shared" ca="1" si="39"/>
        <v>-</v>
      </c>
      <c r="O147" s="22" t="str">
        <f ca="1">IF(E147="INTERVENCIÓN",IF(N147&gt;=Parámetros!$B$7,"SÍ","NO"),"-")</f>
        <v>-</v>
      </c>
      <c r="P147" s="23" t="str">
        <f ca="1">IF(E147="INTERVENCIÓN",IF(N147&gt;=Parámetros!$B$7,CHOOSE(RANDBETWEEN(1,2),"APROBADO","NO APROBADO"),"NO APROBADA - Sin quórum"),"-")</f>
        <v>-</v>
      </c>
    </row>
    <row r="148" spans="1:16" x14ac:dyDescent="0.45">
      <c r="A148" s="23" t="str">
        <f t="shared" ca="1" si="31"/>
        <v/>
      </c>
      <c r="B148" s="23">
        <f ca="1">IF(AND(ISNUMBER(D147),D147&lt;Parámetros!$B$5,ISNUMBER(K147),K147&lt;Parámetros!$B$5,A147&lt;MIN(Parámetros!$B$4,Parámetros!$B$10)),1,0)</f>
        <v>0</v>
      </c>
      <c r="C148" s="33" t="str">
        <f ca="1">IF(B148,-Parámetros!$B$11*LN(1-RAND()),"")</f>
        <v/>
      </c>
      <c r="D148" s="33" t="str">
        <f ca="1">IF(B148,MIN(D147+C148,Parámetros!$B$5),"")</f>
        <v/>
      </c>
      <c r="E148" s="23" t="str">
        <f t="shared" ca="1" si="32"/>
        <v/>
      </c>
      <c r="F148" s="33" t="str">
        <f ca="1">IF(B148,ABS(IF(E148="INTERVENCIÓN",NORMINV(RAND(),Parámetros!$B$13,Parámetros!$B$14),0)),"")</f>
        <v/>
      </c>
      <c r="G148" s="33" t="str">
        <f t="shared" ca="1" si="33"/>
        <v/>
      </c>
      <c r="H148" s="33" t="str">
        <f t="shared" ca="1" si="34"/>
        <v/>
      </c>
      <c r="I148" s="33" t="str">
        <f t="shared" ca="1" si="35"/>
        <v/>
      </c>
      <c r="J148" s="23" t="str">
        <f t="shared" ca="1" si="36"/>
        <v/>
      </c>
      <c r="K148" s="33" t="str">
        <f t="shared" ca="1" si="37"/>
        <v/>
      </c>
      <c r="L148" s="33" t="str">
        <f ca="1">IF(B148,MIN(Parámetros!$B$5-D148,-Parámetros!$B$12*LN(1-RAND())),"")</f>
        <v/>
      </c>
      <c r="M148" s="33" t="str">
        <f t="shared" ca="1" si="38"/>
        <v/>
      </c>
      <c r="N148" s="22" t="str">
        <f t="shared" ca="1" si="39"/>
        <v>-</v>
      </c>
      <c r="O148" s="22" t="str">
        <f ca="1">IF(E148="INTERVENCIÓN",IF(N148&gt;=Parámetros!$B$7,"SÍ","NO"),"-")</f>
        <v>-</v>
      </c>
      <c r="P148" s="23" t="str">
        <f ca="1">IF(E148="INTERVENCIÓN",IF(N148&gt;=Parámetros!$B$7,CHOOSE(RANDBETWEEN(1,2),"APROBADO","NO APROBADO"),"NO APROBADA - Sin quórum"),"-")</f>
        <v>-</v>
      </c>
    </row>
    <row r="149" spans="1:16" x14ac:dyDescent="0.45">
      <c r="A149" s="23" t="str">
        <f t="shared" ca="1" si="31"/>
        <v/>
      </c>
      <c r="B149" s="23">
        <f ca="1">IF(AND(ISNUMBER(D148),D148&lt;Parámetros!$B$5,ISNUMBER(K148),K148&lt;Parámetros!$B$5,A148&lt;MIN(Parámetros!$B$4,Parámetros!$B$10)),1,0)</f>
        <v>0</v>
      </c>
      <c r="C149" s="33" t="str">
        <f ca="1">IF(B149,-Parámetros!$B$11*LN(1-RAND()),"")</f>
        <v/>
      </c>
      <c r="D149" s="33" t="str">
        <f ca="1">IF(B149,MIN(D148+C149,Parámetros!$B$5),"")</f>
        <v/>
      </c>
      <c r="E149" s="23" t="str">
        <f t="shared" ca="1" si="32"/>
        <v/>
      </c>
      <c r="F149" s="33" t="str">
        <f ca="1">IF(B149,ABS(IF(E149="INTERVENCIÓN",NORMINV(RAND(),Parámetros!$B$13,Parámetros!$B$14),0)),"")</f>
        <v/>
      </c>
      <c r="G149" s="33" t="str">
        <f t="shared" ca="1" si="33"/>
        <v/>
      </c>
      <c r="H149" s="33" t="str">
        <f t="shared" ca="1" si="34"/>
        <v/>
      </c>
      <c r="I149" s="33" t="str">
        <f t="shared" ca="1" si="35"/>
        <v/>
      </c>
      <c r="J149" s="23" t="str">
        <f t="shared" ca="1" si="36"/>
        <v/>
      </c>
      <c r="K149" s="33" t="str">
        <f t="shared" ca="1" si="37"/>
        <v/>
      </c>
      <c r="L149" s="33" t="str">
        <f ca="1">IF(B149,MIN(Parámetros!$B$5-D149,-Parámetros!$B$12*LN(1-RAND())),"")</f>
        <v/>
      </c>
      <c r="M149" s="33" t="str">
        <f t="shared" ca="1" si="38"/>
        <v/>
      </c>
      <c r="N149" s="22" t="str">
        <f t="shared" ca="1" si="39"/>
        <v>-</v>
      </c>
      <c r="O149" s="22" t="str">
        <f ca="1">IF(E149="INTERVENCIÓN",IF(N149&gt;=Parámetros!$B$7,"SÍ","NO"),"-")</f>
        <v>-</v>
      </c>
      <c r="P149" s="23" t="str">
        <f ca="1">IF(E149="INTERVENCIÓN",IF(N149&gt;=Parámetros!$B$7,CHOOSE(RANDBETWEEN(1,2),"APROBADO","NO APROBADO"),"NO APROBADA - Sin quórum"),"-")</f>
        <v>-</v>
      </c>
    </row>
    <row r="150" spans="1:16" x14ac:dyDescent="0.45">
      <c r="A150" s="23" t="str">
        <f t="shared" ca="1" si="31"/>
        <v/>
      </c>
      <c r="B150" s="23">
        <f ca="1">IF(AND(ISNUMBER(D149),D149&lt;Parámetros!$B$5,ISNUMBER(K149),K149&lt;Parámetros!$B$5,A149&lt;MIN(Parámetros!$B$4,Parámetros!$B$10)),1,0)</f>
        <v>0</v>
      </c>
      <c r="C150" s="33" t="str">
        <f ca="1">IF(B150,-Parámetros!$B$11*LN(1-RAND()),"")</f>
        <v/>
      </c>
      <c r="D150" s="33" t="str">
        <f ca="1">IF(B150,MIN(D149+C150,Parámetros!$B$5),"")</f>
        <v/>
      </c>
      <c r="E150" s="23" t="str">
        <f t="shared" ca="1" si="32"/>
        <v/>
      </c>
      <c r="F150" s="33" t="str">
        <f ca="1">IF(B150,ABS(IF(E150="INTERVENCIÓN",NORMINV(RAND(),Parámetros!$B$13,Parámetros!$B$14),0)),"")</f>
        <v/>
      </c>
      <c r="G150" s="33" t="str">
        <f t="shared" ca="1" si="33"/>
        <v/>
      </c>
      <c r="H150" s="33" t="str">
        <f t="shared" ca="1" si="34"/>
        <v/>
      </c>
      <c r="I150" s="33" t="str">
        <f t="shared" ca="1" si="35"/>
        <v/>
      </c>
      <c r="J150" s="23" t="str">
        <f t="shared" ca="1" si="36"/>
        <v/>
      </c>
      <c r="K150" s="33" t="str">
        <f t="shared" ca="1" si="37"/>
        <v/>
      </c>
      <c r="L150" s="33" t="str">
        <f ca="1">IF(B150,MIN(Parámetros!$B$5-D150,-Parámetros!$B$12*LN(1-RAND())),"")</f>
        <v/>
      </c>
      <c r="M150" s="33" t="str">
        <f t="shared" ca="1" si="38"/>
        <v/>
      </c>
      <c r="N150" s="22" t="str">
        <f t="shared" ca="1" si="39"/>
        <v>-</v>
      </c>
      <c r="O150" s="22" t="str">
        <f ca="1">IF(E150="INTERVENCIÓN",IF(N150&gt;=Parámetros!$B$7,"SÍ","NO"),"-")</f>
        <v>-</v>
      </c>
      <c r="P150" s="23" t="str">
        <f ca="1">IF(E150="INTERVENCIÓN",IF(N150&gt;=Parámetros!$B$7,CHOOSE(RANDBETWEEN(1,2),"APROBADO","NO APROBADO"),"NO APROBADA - Sin quórum"),"-")</f>
        <v>-</v>
      </c>
    </row>
    <row r="151" spans="1:16" x14ac:dyDescent="0.45">
      <c r="A151" s="23" t="str">
        <f t="shared" ca="1" si="31"/>
        <v/>
      </c>
      <c r="B151" s="23">
        <f ca="1">IF(AND(ISNUMBER(D150),D150&lt;Parámetros!$B$5,ISNUMBER(K150),K150&lt;Parámetros!$B$5,A150&lt;MIN(Parámetros!$B$4,Parámetros!$B$10)),1,0)</f>
        <v>0</v>
      </c>
      <c r="C151" s="33" t="str">
        <f ca="1">IF(B151,-Parámetros!$B$11*LN(1-RAND()),"")</f>
        <v/>
      </c>
      <c r="D151" s="33" t="str">
        <f ca="1">IF(B151,MIN(D150+C151,Parámetros!$B$5),"")</f>
        <v/>
      </c>
      <c r="E151" s="23" t="str">
        <f t="shared" ca="1" si="32"/>
        <v/>
      </c>
      <c r="F151" s="33" t="str">
        <f ca="1">IF(B151,ABS(IF(E151="INTERVENCIÓN",NORMINV(RAND(),Parámetros!$B$13,Parámetros!$B$14),0)),"")</f>
        <v/>
      </c>
      <c r="G151" s="33" t="str">
        <f t="shared" ca="1" si="33"/>
        <v/>
      </c>
      <c r="H151" s="33" t="str">
        <f t="shared" ca="1" si="34"/>
        <v/>
      </c>
      <c r="I151" s="33" t="str">
        <f t="shared" ca="1" si="35"/>
        <v/>
      </c>
      <c r="J151" s="23" t="str">
        <f t="shared" ca="1" si="36"/>
        <v/>
      </c>
      <c r="K151" s="33" t="str">
        <f t="shared" ca="1" si="37"/>
        <v/>
      </c>
      <c r="L151" s="33" t="str">
        <f ca="1">IF(B151,MIN(Parámetros!$B$5-D151,-Parámetros!$B$12*LN(1-RAND())),"")</f>
        <v/>
      </c>
      <c r="M151" s="33" t="str">
        <f t="shared" ca="1" si="38"/>
        <v/>
      </c>
      <c r="N151" s="22" t="str">
        <f t="shared" ca="1" si="39"/>
        <v>-</v>
      </c>
      <c r="O151" s="22" t="str">
        <f ca="1">IF(E151="INTERVENCIÓN",IF(N151&gt;=Parámetros!$B$7,"SÍ","NO"),"-")</f>
        <v>-</v>
      </c>
      <c r="P151" s="23" t="str">
        <f ca="1">IF(E151="INTERVENCIÓN",IF(N151&gt;=Parámetros!$B$7,CHOOSE(RANDBETWEEN(1,2),"APROBADO","NO APROBADO"),"NO APROBADA - Sin quórum"),"-")</f>
        <v>-</v>
      </c>
    </row>
    <row r="152" spans="1:16" x14ac:dyDescent="0.45">
      <c r="A152" s="23" t="str">
        <f t="shared" ca="1" si="31"/>
        <v/>
      </c>
      <c r="B152" s="23">
        <f ca="1">IF(AND(ISNUMBER(D151),D151&lt;Parámetros!$B$5,ISNUMBER(K151),K151&lt;Parámetros!$B$5,A151&lt;MIN(Parámetros!$B$4,Parámetros!$B$10)),1,0)</f>
        <v>0</v>
      </c>
      <c r="C152" s="33" t="str">
        <f ca="1">IF(B152,-Parámetros!$B$11*LN(1-RAND()),"")</f>
        <v/>
      </c>
      <c r="D152" s="33" t="str">
        <f ca="1">IF(B152,MIN(D151+C152,Parámetros!$B$5),"")</f>
        <v/>
      </c>
      <c r="E152" s="23" t="str">
        <f t="shared" ca="1" si="32"/>
        <v/>
      </c>
      <c r="F152" s="33" t="str">
        <f ca="1">IF(B152,ABS(IF(E152="INTERVENCIÓN",NORMINV(RAND(),Parámetros!$B$13,Parámetros!$B$14),0)),"")</f>
        <v/>
      </c>
      <c r="G152" s="33" t="str">
        <f t="shared" ca="1" si="33"/>
        <v/>
      </c>
      <c r="H152" s="33" t="str">
        <f t="shared" ca="1" si="34"/>
        <v/>
      </c>
      <c r="I152" s="33" t="str">
        <f t="shared" ca="1" si="35"/>
        <v/>
      </c>
      <c r="J152" s="23" t="str">
        <f t="shared" ca="1" si="36"/>
        <v/>
      </c>
      <c r="K152" s="33" t="str">
        <f t="shared" ca="1" si="37"/>
        <v/>
      </c>
      <c r="L152" s="33" t="str">
        <f ca="1">IF(B152,MIN(Parámetros!$B$5-D152,-Parámetros!$B$12*LN(1-RAND())),"")</f>
        <v/>
      </c>
      <c r="M152" s="33" t="str">
        <f t="shared" ca="1" si="38"/>
        <v/>
      </c>
      <c r="N152" s="22" t="str">
        <f t="shared" ca="1" si="39"/>
        <v>-</v>
      </c>
      <c r="O152" s="22" t="str">
        <f ca="1">IF(E152="INTERVENCIÓN",IF(N152&gt;=Parámetros!$B$7,"SÍ","NO"),"-")</f>
        <v>-</v>
      </c>
      <c r="P152" s="23" t="str">
        <f ca="1">IF(E152="INTERVENCIÓN",IF(N152&gt;=Parámetros!$B$7,CHOOSE(RANDBETWEEN(1,2),"APROBADO","NO APROBADO"),"NO APROBADA - Sin quórum"),"-")</f>
        <v>-</v>
      </c>
    </row>
    <row r="153" spans="1:16" x14ac:dyDescent="0.45">
      <c r="A153" s="23" t="str">
        <f t="shared" ca="1" si="31"/>
        <v/>
      </c>
      <c r="B153" s="23">
        <f ca="1">IF(AND(ISNUMBER(D152),D152&lt;Parámetros!$B$5,ISNUMBER(K152),K152&lt;Parámetros!$B$5,A152&lt;MIN(Parámetros!$B$4,Parámetros!$B$10)),1,0)</f>
        <v>0</v>
      </c>
      <c r="C153" s="33" t="str">
        <f ca="1">IF(B153,-Parámetros!$B$11*LN(1-RAND()),"")</f>
        <v/>
      </c>
      <c r="D153" s="33" t="str">
        <f ca="1">IF(B153,MIN(D152+C153,Parámetros!$B$5),"")</f>
        <v/>
      </c>
      <c r="E153" s="23" t="str">
        <f t="shared" ca="1" si="32"/>
        <v/>
      </c>
      <c r="F153" s="33" t="str">
        <f ca="1">IF(B153,ABS(IF(E153="INTERVENCIÓN",NORMINV(RAND(),Parámetros!$B$13,Parámetros!$B$14),0)),"")</f>
        <v/>
      </c>
      <c r="G153" s="33" t="str">
        <f t="shared" ca="1" si="33"/>
        <v/>
      </c>
      <c r="H153" s="33" t="str">
        <f t="shared" ca="1" si="34"/>
        <v/>
      </c>
      <c r="I153" s="33" t="str">
        <f t="shared" ca="1" si="35"/>
        <v/>
      </c>
      <c r="J153" s="23" t="str">
        <f t="shared" ca="1" si="36"/>
        <v/>
      </c>
      <c r="K153" s="33" t="str">
        <f t="shared" ca="1" si="37"/>
        <v/>
      </c>
      <c r="L153" s="33" t="str">
        <f ca="1">IF(B153,MIN(Parámetros!$B$5-D153,-Parámetros!$B$12*LN(1-RAND())),"")</f>
        <v/>
      </c>
      <c r="M153" s="33" t="str">
        <f t="shared" ca="1" si="38"/>
        <v/>
      </c>
      <c r="N153" s="22" t="str">
        <f t="shared" ca="1" si="39"/>
        <v>-</v>
      </c>
      <c r="O153" s="22" t="str">
        <f ca="1">IF(E153="INTERVENCIÓN",IF(N153&gt;=Parámetros!$B$7,"SÍ","NO"),"-")</f>
        <v>-</v>
      </c>
      <c r="P153" s="23" t="str">
        <f ca="1">IF(E153="INTERVENCIÓN",IF(N153&gt;=Parámetros!$B$7,CHOOSE(RANDBETWEEN(1,2),"APROBADO","NO APROBADO"),"NO APROBADA - Sin quórum"),"-")</f>
        <v>-</v>
      </c>
    </row>
    <row r="154" spans="1:16" x14ac:dyDescent="0.45">
      <c r="A154" s="23" t="str">
        <f t="shared" ca="1" si="31"/>
        <v/>
      </c>
      <c r="B154" s="23">
        <f ca="1">IF(AND(ISNUMBER(D153),D153&lt;Parámetros!$B$5,ISNUMBER(K153),K153&lt;Parámetros!$B$5,A153&lt;MIN(Parámetros!$B$4,Parámetros!$B$10)),1,0)</f>
        <v>0</v>
      </c>
      <c r="C154" s="33" t="str">
        <f ca="1">IF(B154,-Parámetros!$B$11*LN(1-RAND()),"")</f>
        <v/>
      </c>
      <c r="D154" s="33" t="str">
        <f ca="1">IF(B154,MIN(D153+C154,Parámetros!$B$5),"")</f>
        <v/>
      </c>
      <c r="E154" s="23" t="str">
        <f t="shared" ca="1" si="32"/>
        <v/>
      </c>
      <c r="F154" s="33" t="str">
        <f ca="1">IF(B154,ABS(IF(E154="INTERVENCIÓN",NORMINV(RAND(),Parámetros!$B$13,Parámetros!$B$14),0)),"")</f>
        <v/>
      </c>
      <c r="G154" s="33" t="str">
        <f t="shared" ca="1" si="33"/>
        <v/>
      </c>
      <c r="H154" s="33" t="str">
        <f t="shared" ca="1" si="34"/>
        <v/>
      </c>
      <c r="I154" s="33" t="str">
        <f t="shared" ca="1" si="35"/>
        <v/>
      </c>
      <c r="J154" s="23" t="str">
        <f t="shared" ca="1" si="36"/>
        <v/>
      </c>
      <c r="K154" s="33" t="str">
        <f t="shared" ca="1" si="37"/>
        <v/>
      </c>
      <c r="L154" s="33" t="str">
        <f ca="1">IF(B154,MIN(Parámetros!$B$5-D154,-Parámetros!$B$12*LN(1-RAND())),"")</f>
        <v/>
      </c>
      <c r="M154" s="33" t="str">
        <f t="shared" ca="1" si="38"/>
        <v/>
      </c>
      <c r="N154" s="22" t="str">
        <f t="shared" ca="1" si="39"/>
        <v>-</v>
      </c>
      <c r="O154" s="22" t="str">
        <f ca="1">IF(E154="INTERVENCIÓN",IF(N154&gt;=Parámetros!$B$7,"SÍ","NO"),"-")</f>
        <v>-</v>
      </c>
      <c r="P154" s="23" t="str">
        <f ca="1">IF(E154="INTERVENCIÓN",IF(N154&gt;=Parámetros!$B$7,CHOOSE(RANDBETWEEN(1,2),"APROBADO","NO APROBADO"),"NO APROBADA - Sin quórum"),"-")</f>
        <v>-</v>
      </c>
    </row>
    <row r="155" spans="1:16" x14ac:dyDescent="0.45">
      <c r="A155" s="23" t="str">
        <f t="shared" ca="1" si="31"/>
        <v/>
      </c>
      <c r="B155" s="23">
        <f ca="1">IF(AND(ISNUMBER(D154),D154&lt;Parámetros!$B$5,ISNUMBER(K154),K154&lt;Parámetros!$B$5,A154&lt;MIN(Parámetros!$B$4,Parámetros!$B$10)),1,0)</f>
        <v>0</v>
      </c>
      <c r="C155" s="33" t="str">
        <f ca="1">IF(B155,-Parámetros!$B$11*LN(1-RAND()),"")</f>
        <v/>
      </c>
      <c r="D155" s="33" t="str">
        <f ca="1">IF(B155,MIN(D154+C155,Parámetros!$B$5),"")</f>
        <v/>
      </c>
      <c r="E155" s="23" t="str">
        <f t="shared" ca="1" si="32"/>
        <v/>
      </c>
      <c r="F155" s="33" t="str">
        <f ca="1">IF(B155,ABS(IF(E155="INTERVENCIÓN",NORMINV(RAND(),Parámetros!$B$13,Parámetros!$B$14),0)),"")</f>
        <v/>
      </c>
      <c r="G155" s="33" t="str">
        <f t="shared" ca="1" si="33"/>
        <v/>
      </c>
      <c r="H155" s="33" t="str">
        <f t="shared" ca="1" si="34"/>
        <v/>
      </c>
      <c r="I155" s="33" t="str">
        <f t="shared" ca="1" si="35"/>
        <v/>
      </c>
      <c r="J155" s="23" t="str">
        <f t="shared" ca="1" si="36"/>
        <v/>
      </c>
      <c r="K155" s="33" t="str">
        <f t="shared" ca="1" si="37"/>
        <v/>
      </c>
      <c r="L155" s="33" t="str">
        <f ca="1">IF(B155,MIN(Parámetros!$B$5-D155,-Parámetros!$B$12*LN(1-RAND())),"")</f>
        <v/>
      </c>
      <c r="M155" s="33" t="str">
        <f t="shared" ca="1" si="38"/>
        <v/>
      </c>
      <c r="N155" s="22" t="str">
        <f t="shared" ca="1" si="39"/>
        <v>-</v>
      </c>
      <c r="O155" s="22" t="str">
        <f ca="1">IF(E155="INTERVENCIÓN",IF(N155&gt;=Parámetros!$B$7,"SÍ","NO"),"-")</f>
        <v>-</v>
      </c>
      <c r="P155" s="23" t="str">
        <f ca="1">IF(E155="INTERVENCIÓN",IF(N155&gt;=Parámetros!$B$7,CHOOSE(RANDBETWEEN(1,2),"APROBADO","NO APROBADO"),"NO APROBADA - Sin quórum"),"-")</f>
        <v>-</v>
      </c>
    </row>
    <row r="156" spans="1:16" x14ac:dyDescent="0.45">
      <c r="A156" s="23" t="str">
        <f t="shared" ca="1" si="31"/>
        <v/>
      </c>
      <c r="B156" s="23">
        <f ca="1">IF(AND(ISNUMBER(D155),D155&lt;Parámetros!$B$5,ISNUMBER(K155),K155&lt;Parámetros!$B$5,A155&lt;MIN(Parámetros!$B$4,Parámetros!$B$10)),1,0)</f>
        <v>0</v>
      </c>
      <c r="C156" s="33" t="str">
        <f ca="1">IF(B156,-Parámetros!$B$11*LN(1-RAND()),"")</f>
        <v/>
      </c>
      <c r="D156" s="33" t="str">
        <f ca="1">IF(B156,MIN(D155+C156,Parámetros!$B$5),"")</f>
        <v/>
      </c>
      <c r="E156" s="23" t="str">
        <f t="shared" ca="1" si="32"/>
        <v/>
      </c>
      <c r="F156" s="33" t="str">
        <f ca="1">IF(B156,ABS(IF(E156="INTERVENCIÓN",NORMINV(RAND(),Parámetros!$B$13,Parámetros!$B$14),0)),"")</f>
        <v/>
      </c>
      <c r="G156" s="33" t="str">
        <f t="shared" ca="1" si="33"/>
        <v/>
      </c>
      <c r="H156" s="33" t="str">
        <f t="shared" ca="1" si="34"/>
        <v/>
      </c>
      <c r="I156" s="33" t="str">
        <f t="shared" ca="1" si="35"/>
        <v/>
      </c>
      <c r="J156" s="23" t="str">
        <f t="shared" ca="1" si="36"/>
        <v/>
      </c>
      <c r="K156" s="33" t="str">
        <f t="shared" ca="1" si="37"/>
        <v/>
      </c>
      <c r="L156" s="33" t="str">
        <f ca="1">IF(B156,MIN(Parámetros!$B$5-D156,-Parámetros!$B$12*LN(1-RAND())),"")</f>
        <v/>
      </c>
      <c r="M156" s="33" t="str">
        <f t="shared" ca="1" si="38"/>
        <v/>
      </c>
      <c r="N156" s="22" t="str">
        <f t="shared" ca="1" si="39"/>
        <v>-</v>
      </c>
      <c r="O156" s="22" t="str">
        <f ca="1">IF(E156="INTERVENCIÓN",IF(N156&gt;=Parámetros!$B$7,"SÍ","NO"),"-")</f>
        <v>-</v>
      </c>
      <c r="P156" s="23" t="str">
        <f ca="1">IF(E156="INTERVENCIÓN",IF(N156&gt;=Parámetros!$B$7,CHOOSE(RANDBETWEEN(1,2),"APROBADO","NO APROBADO"),"NO APROBADA - Sin quórum"),"-")</f>
        <v>-</v>
      </c>
    </row>
    <row r="157" spans="1:16" x14ac:dyDescent="0.45">
      <c r="A157" s="23" t="str">
        <f t="shared" ca="1" si="31"/>
        <v/>
      </c>
      <c r="B157" s="23">
        <f ca="1">IF(AND(ISNUMBER(D156),D156&lt;Parámetros!$B$5,ISNUMBER(K156),K156&lt;Parámetros!$B$5,A156&lt;MIN(Parámetros!$B$4,Parámetros!$B$10)),1,0)</f>
        <v>0</v>
      </c>
      <c r="C157" s="33" t="str">
        <f ca="1">IF(B157,-Parámetros!$B$11*LN(1-RAND()),"")</f>
        <v/>
      </c>
      <c r="D157" s="33" t="str">
        <f ca="1">IF(B157,MIN(D156+C157,Parámetros!$B$5),"")</f>
        <v/>
      </c>
      <c r="E157" s="23" t="str">
        <f t="shared" ca="1" si="32"/>
        <v/>
      </c>
      <c r="F157" s="33" t="str">
        <f ca="1">IF(B157,ABS(IF(E157="INTERVENCIÓN",NORMINV(RAND(),Parámetros!$B$13,Parámetros!$B$14),0)),"")</f>
        <v/>
      </c>
      <c r="G157" s="33" t="str">
        <f t="shared" ca="1" si="33"/>
        <v/>
      </c>
      <c r="H157" s="33" t="str">
        <f t="shared" ca="1" si="34"/>
        <v/>
      </c>
      <c r="I157" s="33" t="str">
        <f t="shared" ca="1" si="35"/>
        <v/>
      </c>
      <c r="J157" s="23" t="str">
        <f t="shared" ca="1" si="36"/>
        <v/>
      </c>
      <c r="K157" s="33" t="str">
        <f t="shared" ca="1" si="37"/>
        <v/>
      </c>
      <c r="L157" s="33" t="str">
        <f ca="1">IF(B157,MIN(Parámetros!$B$5-D157,-Parámetros!$B$12*LN(1-RAND())),"")</f>
        <v/>
      </c>
      <c r="M157" s="33" t="str">
        <f t="shared" ca="1" si="38"/>
        <v/>
      </c>
      <c r="N157" s="22" t="str">
        <f t="shared" ca="1" si="39"/>
        <v>-</v>
      </c>
      <c r="O157" s="22" t="str">
        <f ca="1">IF(E157="INTERVENCIÓN",IF(N157&gt;=Parámetros!$B$7,"SÍ","NO"),"-")</f>
        <v>-</v>
      </c>
      <c r="P157" s="23" t="str">
        <f ca="1">IF(E157="INTERVENCIÓN",IF(N157&gt;=Parámetros!$B$7,CHOOSE(RANDBETWEEN(1,2),"APROBADO","NO APROBADO"),"NO APROBADA - Sin quórum"),"-")</f>
        <v>-</v>
      </c>
    </row>
    <row r="158" spans="1:16" x14ac:dyDescent="0.45">
      <c r="A158" s="23" t="str">
        <f t="shared" ca="1" si="31"/>
        <v/>
      </c>
      <c r="B158" s="23">
        <f ca="1">IF(AND(ISNUMBER(D157),D157&lt;Parámetros!$B$5,ISNUMBER(K157),K157&lt;Parámetros!$B$5,A157&lt;MIN(Parámetros!$B$4,Parámetros!$B$10)),1,0)</f>
        <v>0</v>
      </c>
      <c r="C158" s="33" t="str">
        <f ca="1">IF(B158,-Parámetros!$B$11*LN(1-RAND()),"")</f>
        <v/>
      </c>
      <c r="D158" s="33" t="str">
        <f ca="1">IF(B158,MIN(D157+C158,Parámetros!$B$5),"")</f>
        <v/>
      </c>
      <c r="E158" s="23" t="str">
        <f t="shared" ca="1" si="32"/>
        <v/>
      </c>
      <c r="F158" s="33" t="str">
        <f ca="1">IF(B158,ABS(IF(E158="INTERVENCIÓN",NORMINV(RAND(),Parámetros!$B$13,Parámetros!$B$14),0)),"")</f>
        <v/>
      </c>
      <c r="G158" s="33" t="str">
        <f t="shared" ca="1" si="33"/>
        <v/>
      </c>
      <c r="H158" s="33" t="str">
        <f t="shared" ca="1" si="34"/>
        <v/>
      </c>
      <c r="I158" s="33" t="str">
        <f t="shared" ca="1" si="35"/>
        <v/>
      </c>
      <c r="J158" s="23" t="str">
        <f t="shared" ca="1" si="36"/>
        <v/>
      </c>
      <c r="K158" s="33" t="str">
        <f t="shared" ca="1" si="37"/>
        <v/>
      </c>
      <c r="L158" s="33" t="str">
        <f ca="1">IF(B158,MIN(Parámetros!$B$5-D158,-Parámetros!$B$12*LN(1-RAND())),"")</f>
        <v/>
      </c>
      <c r="M158" s="33" t="str">
        <f t="shared" ca="1" si="38"/>
        <v/>
      </c>
      <c r="N158" s="22" t="str">
        <f t="shared" ca="1" si="39"/>
        <v>-</v>
      </c>
      <c r="O158" s="22" t="str">
        <f ca="1">IF(E158="INTERVENCIÓN",IF(N158&gt;=Parámetros!$B$7,"SÍ","NO"),"-")</f>
        <v>-</v>
      </c>
      <c r="P158" s="23" t="str">
        <f ca="1">IF(E158="INTERVENCIÓN",IF(N158&gt;=Parámetros!$B$7,CHOOSE(RANDBETWEEN(1,2),"APROBADO","NO APROBADO"),"NO APROBADA - Sin quórum"),"-")</f>
        <v>-</v>
      </c>
    </row>
    <row r="159" spans="1:16" x14ac:dyDescent="0.45">
      <c r="A159" s="23" t="str">
        <f t="shared" ca="1" si="31"/>
        <v/>
      </c>
      <c r="B159" s="23">
        <f ca="1">IF(AND(ISNUMBER(D158),D158&lt;Parámetros!$B$5,ISNUMBER(K158),K158&lt;Parámetros!$B$5,A158&lt;MIN(Parámetros!$B$4,Parámetros!$B$10)),1,0)</f>
        <v>0</v>
      </c>
      <c r="C159" s="33" t="str">
        <f ca="1">IF(B159,-Parámetros!$B$11*LN(1-RAND()),"")</f>
        <v/>
      </c>
      <c r="D159" s="33" t="str">
        <f ca="1">IF(B159,MIN(D158+C159,Parámetros!$B$5),"")</f>
        <v/>
      </c>
      <c r="E159" s="23" t="str">
        <f t="shared" ca="1" si="32"/>
        <v/>
      </c>
      <c r="F159" s="33" t="str">
        <f ca="1">IF(B159,ABS(IF(E159="INTERVENCIÓN",NORMINV(RAND(),Parámetros!$B$13,Parámetros!$B$14),0)),"")</f>
        <v/>
      </c>
      <c r="G159" s="33" t="str">
        <f t="shared" ca="1" si="33"/>
        <v/>
      </c>
      <c r="H159" s="33" t="str">
        <f t="shared" ca="1" si="34"/>
        <v/>
      </c>
      <c r="I159" s="33" t="str">
        <f t="shared" ca="1" si="35"/>
        <v/>
      </c>
      <c r="J159" s="23" t="str">
        <f t="shared" ca="1" si="36"/>
        <v/>
      </c>
      <c r="K159" s="33" t="str">
        <f t="shared" ca="1" si="37"/>
        <v/>
      </c>
      <c r="L159" s="33" t="str">
        <f ca="1">IF(B159,MIN(Parámetros!$B$5-D159,-Parámetros!$B$12*LN(1-RAND())),"")</f>
        <v/>
      </c>
      <c r="M159" s="33" t="str">
        <f t="shared" ca="1" si="38"/>
        <v/>
      </c>
      <c r="N159" s="22" t="str">
        <f t="shared" ca="1" si="39"/>
        <v>-</v>
      </c>
      <c r="O159" s="22" t="str">
        <f ca="1">IF(E159="INTERVENCIÓN",IF(N159&gt;=Parámetros!$B$7,"SÍ","NO"),"-")</f>
        <v>-</v>
      </c>
      <c r="P159" s="23" t="str">
        <f ca="1">IF(E159="INTERVENCIÓN",IF(N159&gt;=Parámetros!$B$7,CHOOSE(RANDBETWEEN(1,2),"APROBADO","NO APROBADO"),"NO APROBADA - Sin quórum"),"-")</f>
        <v>-</v>
      </c>
    </row>
    <row r="160" spans="1:16" x14ac:dyDescent="0.45">
      <c r="A160" s="23" t="str">
        <f t="shared" ca="1" si="31"/>
        <v/>
      </c>
      <c r="B160" s="23">
        <f ca="1">IF(AND(ISNUMBER(D159),D159&lt;Parámetros!$B$5,ISNUMBER(K159),K159&lt;Parámetros!$B$5,A159&lt;MIN(Parámetros!$B$4,Parámetros!$B$10)),1,0)</f>
        <v>0</v>
      </c>
      <c r="C160" s="33" t="str">
        <f ca="1">IF(B160,-Parámetros!$B$11*LN(1-RAND()),"")</f>
        <v/>
      </c>
      <c r="D160" s="33" t="str">
        <f ca="1">IF(B160,MIN(D159+C160,Parámetros!$B$5),"")</f>
        <v/>
      </c>
      <c r="E160" s="23" t="str">
        <f t="shared" ca="1" si="32"/>
        <v/>
      </c>
      <c r="F160" s="33" t="str">
        <f ca="1">IF(B160,ABS(IF(E160="INTERVENCIÓN",NORMINV(RAND(),Parámetros!$B$13,Parámetros!$B$14),0)),"")</f>
        <v/>
      </c>
      <c r="G160" s="33" t="str">
        <f t="shared" ca="1" si="33"/>
        <v/>
      </c>
      <c r="H160" s="33" t="str">
        <f t="shared" ca="1" si="34"/>
        <v/>
      </c>
      <c r="I160" s="33" t="str">
        <f t="shared" ca="1" si="35"/>
        <v/>
      </c>
      <c r="J160" s="23" t="str">
        <f t="shared" ca="1" si="36"/>
        <v/>
      </c>
      <c r="K160" s="33" t="str">
        <f t="shared" ca="1" si="37"/>
        <v/>
      </c>
      <c r="L160" s="33" t="str">
        <f ca="1">IF(B160,MIN(Parámetros!$B$5-D160,-Parámetros!$B$12*LN(1-RAND())),"")</f>
        <v/>
      </c>
      <c r="M160" s="33" t="str">
        <f t="shared" ca="1" si="38"/>
        <v/>
      </c>
      <c r="N160" s="22" t="str">
        <f t="shared" ca="1" si="39"/>
        <v>-</v>
      </c>
      <c r="O160" s="22" t="str">
        <f ca="1">IF(E160="INTERVENCIÓN",IF(N160&gt;=Parámetros!$B$7,"SÍ","NO"),"-")</f>
        <v>-</v>
      </c>
      <c r="P160" s="23" t="str">
        <f ca="1">IF(E160="INTERVENCIÓN",IF(N160&gt;=Parámetros!$B$7,CHOOSE(RANDBETWEEN(1,2),"APROBADO","NO APROBADO"),"NO APROBADA - Sin quórum"),"-")</f>
        <v>-</v>
      </c>
    </row>
    <row r="161" spans="1:16" x14ac:dyDescent="0.45">
      <c r="A161" s="23" t="str">
        <f t="shared" ca="1" si="31"/>
        <v/>
      </c>
      <c r="B161" s="23">
        <f ca="1">IF(AND(ISNUMBER(D160),D160&lt;Parámetros!$B$5,ISNUMBER(K160),K160&lt;Parámetros!$B$5,A160&lt;MIN(Parámetros!$B$4,Parámetros!$B$10)),1,0)</f>
        <v>0</v>
      </c>
      <c r="C161" s="33" t="str">
        <f ca="1">IF(B161,-Parámetros!$B$11*LN(1-RAND()),"")</f>
        <v/>
      </c>
      <c r="D161" s="33" t="str">
        <f ca="1">IF(B161,MIN(D160+C161,Parámetros!$B$5),"")</f>
        <v/>
      </c>
      <c r="E161" s="23" t="str">
        <f t="shared" ca="1" si="32"/>
        <v/>
      </c>
      <c r="F161" s="33" t="str">
        <f ca="1">IF(B161,ABS(IF(E161="INTERVENCIÓN",NORMINV(RAND(),Parámetros!$B$13,Parámetros!$B$14),0)),"")</f>
        <v/>
      </c>
      <c r="G161" s="33" t="str">
        <f t="shared" ca="1" si="33"/>
        <v/>
      </c>
      <c r="H161" s="33" t="str">
        <f t="shared" ca="1" si="34"/>
        <v/>
      </c>
      <c r="I161" s="33" t="str">
        <f t="shared" ca="1" si="35"/>
        <v/>
      </c>
      <c r="J161" s="23" t="str">
        <f t="shared" ca="1" si="36"/>
        <v/>
      </c>
      <c r="K161" s="33" t="str">
        <f t="shared" ca="1" si="37"/>
        <v/>
      </c>
      <c r="L161" s="33" t="str">
        <f ca="1">IF(B161,MIN(Parámetros!$B$5-D161,-Parámetros!$B$12*LN(1-RAND())),"")</f>
        <v/>
      </c>
      <c r="M161" s="33" t="str">
        <f t="shared" ca="1" si="38"/>
        <v/>
      </c>
      <c r="N161" s="22" t="str">
        <f t="shared" ca="1" si="39"/>
        <v>-</v>
      </c>
      <c r="O161" s="22" t="str">
        <f ca="1">IF(E161="INTERVENCIÓN",IF(N161&gt;=Parámetros!$B$7,"SÍ","NO"),"-")</f>
        <v>-</v>
      </c>
      <c r="P161" s="23" t="str">
        <f ca="1">IF(E161="INTERVENCIÓN",IF(N161&gt;=Parámetros!$B$7,CHOOSE(RANDBETWEEN(1,2),"APROBADO","NO APROBADO"),"NO APROBADA - Sin quórum"),"-")</f>
        <v>-</v>
      </c>
    </row>
    <row r="162" spans="1:16" x14ac:dyDescent="0.45">
      <c r="A162" s="23" t="str">
        <f t="shared" ca="1" si="31"/>
        <v/>
      </c>
      <c r="B162" s="23">
        <f ca="1">IF(AND(ISNUMBER(D161),D161&lt;Parámetros!$B$5,ISNUMBER(K161),K161&lt;Parámetros!$B$5,A161&lt;MIN(Parámetros!$B$4,Parámetros!$B$10)),1,0)</f>
        <v>0</v>
      </c>
      <c r="C162" s="33" t="str">
        <f ca="1">IF(B162,-Parámetros!$B$11*LN(1-RAND()),"")</f>
        <v/>
      </c>
      <c r="D162" s="33" t="str">
        <f ca="1">IF(B162,MIN(D161+C162,Parámetros!$B$5),"")</f>
        <v/>
      </c>
      <c r="E162" s="23" t="str">
        <f t="shared" ca="1" si="32"/>
        <v/>
      </c>
      <c r="F162" s="33" t="str">
        <f ca="1">IF(B162,ABS(IF(E162="INTERVENCIÓN",NORMINV(RAND(),Parámetros!$B$13,Parámetros!$B$14),0)),"")</f>
        <v/>
      </c>
      <c r="G162" s="33" t="str">
        <f t="shared" ca="1" si="33"/>
        <v/>
      </c>
      <c r="H162" s="33" t="str">
        <f t="shared" ca="1" si="34"/>
        <v/>
      </c>
      <c r="I162" s="33" t="str">
        <f t="shared" ca="1" si="35"/>
        <v/>
      </c>
      <c r="J162" s="23" t="str">
        <f t="shared" ca="1" si="36"/>
        <v/>
      </c>
      <c r="K162" s="33" t="str">
        <f t="shared" ca="1" si="37"/>
        <v/>
      </c>
      <c r="L162" s="33" t="str">
        <f ca="1">IF(B162,MIN(Parámetros!$B$5-D162,-Parámetros!$B$12*LN(1-RAND())),"")</f>
        <v/>
      </c>
      <c r="M162" s="33" t="str">
        <f t="shared" ca="1" si="38"/>
        <v/>
      </c>
      <c r="N162" s="22" t="str">
        <f t="shared" ca="1" si="39"/>
        <v>-</v>
      </c>
      <c r="O162" s="22" t="str">
        <f ca="1">IF(E162="INTERVENCIÓN",IF(N162&gt;=Parámetros!$B$7,"SÍ","NO"),"-")</f>
        <v>-</v>
      </c>
      <c r="P162" s="23" t="str">
        <f ca="1">IF(E162="INTERVENCIÓN",IF(N162&gt;=Parámetros!$B$7,CHOOSE(RANDBETWEEN(1,2),"APROBADO","NO APROBADO"),"NO APROBADA - Sin quórum"),"-")</f>
        <v>-</v>
      </c>
    </row>
    <row r="163" spans="1:16" x14ac:dyDescent="0.45">
      <c r="A163" s="23" t="str">
        <f t="shared" ca="1" si="31"/>
        <v/>
      </c>
      <c r="B163" s="23">
        <f ca="1">IF(AND(ISNUMBER(D162),D162&lt;Parámetros!$B$5,ISNUMBER(K162),K162&lt;Parámetros!$B$5,A162&lt;MIN(Parámetros!$B$4,Parámetros!$B$10)),1,0)</f>
        <v>0</v>
      </c>
      <c r="C163" s="33" t="str">
        <f ca="1">IF(B163,-Parámetros!$B$11*LN(1-RAND()),"")</f>
        <v/>
      </c>
      <c r="D163" s="33" t="str">
        <f ca="1">IF(B163,MIN(D162+C163,Parámetros!$B$5),"")</f>
        <v/>
      </c>
      <c r="E163" s="23" t="str">
        <f t="shared" ca="1" si="32"/>
        <v/>
      </c>
      <c r="F163" s="33" t="str">
        <f ca="1">IF(B163,ABS(IF(E163="INTERVENCIÓN",NORMINV(RAND(),Parámetros!$B$13,Parámetros!$B$14),0)),"")</f>
        <v/>
      </c>
      <c r="G163" s="33" t="str">
        <f t="shared" ca="1" si="33"/>
        <v/>
      </c>
      <c r="H163" s="33" t="str">
        <f t="shared" ca="1" si="34"/>
        <v/>
      </c>
      <c r="I163" s="33" t="str">
        <f t="shared" ca="1" si="35"/>
        <v/>
      </c>
      <c r="J163" s="23" t="str">
        <f t="shared" ca="1" si="36"/>
        <v/>
      </c>
      <c r="K163" s="33" t="str">
        <f t="shared" ca="1" si="37"/>
        <v/>
      </c>
      <c r="L163" s="33" t="str">
        <f ca="1">IF(B163,MIN(Parámetros!$B$5-D163,-Parámetros!$B$12*LN(1-RAND())),"")</f>
        <v/>
      </c>
      <c r="M163" s="33" t="str">
        <f t="shared" ca="1" si="38"/>
        <v/>
      </c>
      <c r="N163" s="22" t="str">
        <f t="shared" ca="1" si="39"/>
        <v>-</v>
      </c>
      <c r="O163" s="22" t="str">
        <f ca="1">IF(E163="INTERVENCIÓN",IF(N163&gt;=Parámetros!$B$7,"SÍ","NO"),"-")</f>
        <v>-</v>
      </c>
      <c r="P163" s="23" t="str">
        <f ca="1">IF(E163="INTERVENCIÓN",IF(N163&gt;=Parámetros!$B$7,CHOOSE(RANDBETWEEN(1,2),"APROBADO","NO APROBADO"),"NO APROBADA - Sin quórum"),"-")</f>
        <v>-</v>
      </c>
    </row>
    <row r="164" spans="1:16" x14ac:dyDescent="0.45">
      <c r="A164" s="23" t="str">
        <f t="shared" ca="1" si="31"/>
        <v/>
      </c>
      <c r="B164" s="23">
        <f ca="1">IF(AND(ISNUMBER(D163),D163&lt;Parámetros!$B$5,ISNUMBER(K163),K163&lt;Parámetros!$B$5,A163&lt;MIN(Parámetros!$B$4,Parámetros!$B$10)),1,0)</f>
        <v>0</v>
      </c>
      <c r="C164" s="33" t="str">
        <f ca="1">IF(B164,-Parámetros!$B$11*LN(1-RAND()),"")</f>
        <v/>
      </c>
      <c r="D164" s="33" t="str">
        <f ca="1">IF(B164,MIN(D163+C164,Parámetros!$B$5),"")</f>
        <v/>
      </c>
      <c r="E164" s="23" t="str">
        <f t="shared" ca="1" si="32"/>
        <v/>
      </c>
      <c r="F164" s="33" t="str">
        <f ca="1">IF(B164,ABS(IF(E164="INTERVENCIÓN",NORMINV(RAND(),Parámetros!$B$13,Parámetros!$B$14),0)),"")</f>
        <v/>
      </c>
      <c r="G164" s="33" t="str">
        <f t="shared" ca="1" si="33"/>
        <v/>
      </c>
      <c r="H164" s="33" t="str">
        <f t="shared" ca="1" si="34"/>
        <v/>
      </c>
      <c r="I164" s="33" t="str">
        <f t="shared" ca="1" si="35"/>
        <v/>
      </c>
      <c r="J164" s="23" t="str">
        <f t="shared" ca="1" si="36"/>
        <v/>
      </c>
      <c r="K164" s="33" t="str">
        <f t="shared" ca="1" si="37"/>
        <v/>
      </c>
      <c r="L164" s="33" t="str">
        <f ca="1">IF(B164,MIN(Parámetros!$B$5-D164,-Parámetros!$B$12*LN(1-RAND())),"")</f>
        <v/>
      </c>
      <c r="M164" s="33" t="str">
        <f t="shared" ca="1" si="38"/>
        <v/>
      </c>
      <c r="N164" s="22" t="str">
        <f t="shared" ca="1" si="39"/>
        <v>-</v>
      </c>
      <c r="O164" s="22" t="str">
        <f ca="1">IF(E164="INTERVENCIÓN",IF(N164&gt;=Parámetros!$B$7,"SÍ","NO"),"-")</f>
        <v>-</v>
      </c>
      <c r="P164" s="23" t="str">
        <f ca="1">IF(E164="INTERVENCIÓN",IF(N164&gt;=Parámetros!$B$7,CHOOSE(RANDBETWEEN(1,2),"APROBADO","NO APROBADO"),"NO APROBADA - Sin quórum"),"-")</f>
        <v>-</v>
      </c>
    </row>
    <row r="165" spans="1:16" x14ac:dyDescent="0.45">
      <c r="A165" s="23" t="str">
        <f t="shared" ca="1" si="31"/>
        <v/>
      </c>
      <c r="B165" s="23">
        <f ca="1">IF(AND(ISNUMBER(D164),D164&lt;Parámetros!$B$5,ISNUMBER(K164),K164&lt;Parámetros!$B$5,A164&lt;MIN(Parámetros!$B$4,Parámetros!$B$10)),1,0)</f>
        <v>0</v>
      </c>
      <c r="C165" s="33" t="str">
        <f ca="1">IF(B165,-Parámetros!$B$11*LN(1-RAND()),"")</f>
        <v/>
      </c>
      <c r="D165" s="33" t="str">
        <f ca="1">IF(B165,MIN(D164+C165,Parámetros!$B$5),"")</f>
        <v/>
      </c>
      <c r="E165" s="23" t="str">
        <f t="shared" ca="1" si="32"/>
        <v/>
      </c>
      <c r="F165" s="33" t="str">
        <f ca="1">IF(B165,ABS(IF(E165="INTERVENCIÓN",NORMINV(RAND(),Parámetros!$B$13,Parámetros!$B$14),0)),"")</f>
        <v/>
      </c>
      <c r="G165" s="33" t="str">
        <f t="shared" ca="1" si="33"/>
        <v/>
      </c>
      <c r="H165" s="33" t="str">
        <f t="shared" ca="1" si="34"/>
        <v/>
      </c>
      <c r="I165" s="33" t="str">
        <f t="shared" ca="1" si="35"/>
        <v/>
      </c>
      <c r="J165" s="23" t="str">
        <f t="shared" ca="1" si="36"/>
        <v/>
      </c>
      <c r="K165" s="33" t="str">
        <f t="shared" ca="1" si="37"/>
        <v/>
      </c>
      <c r="L165" s="33" t="str">
        <f ca="1">IF(B165,MIN(Parámetros!$B$5-D165,-Parámetros!$B$12*LN(1-RAND())),"")</f>
        <v/>
      </c>
      <c r="M165" s="33" t="str">
        <f t="shared" ca="1" si="38"/>
        <v/>
      </c>
      <c r="N165" s="22" t="str">
        <f t="shared" ca="1" si="39"/>
        <v>-</v>
      </c>
      <c r="O165" s="22" t="str">
        <f ca="1">IF(E165="INTERVENCIÓN",IF(N165&gt;=Parámetros!$B$7,"SÍ","NO"),"-")</f>
        <v>-</v>
      </c>
      <c r="P165" s="23" t="str">
        <f ca="1">IF(E165="INTERVENCIÓN",IF(N165&gt;=Parámetros!$B$7,CHOOSE(RANDBETWEEN(1,2),"APROBADO","NO APROBADO"),"NO APROBADA - Sin quórum"),"-")</f>
        <v>-</v>
      </c>
    </row>
    <row r="166" spans="1:16" x14ac:dyDescent="0.45">
      <c r="A166" s="23" t="str">
        <f t="shared" ca="1" si="31"/>
        <v/>
      </c>
      <c r="B166" s="23">
        <f ca="1">IF(AND(ISNUMBER(D165),D165&lt;Parámetros!$B$5,ISNUMBER(K165),K165&lt;Parámetros!$B$5,A165&lt;MIN(Parámetros!$B$4,Parámetros!$B$10)),1,0)</f>
        <v>0</v>
      </c>
      <c r="C166" s="33" t="str">
        <f ca="1">IF(B166,-Parámetros!$B$11*LN(1-RAND()),"")</f>
        <v/>
      </c>
      <c r="D166" s="33" t="str">
        <f ca="1">IF(B166,MIN(D165+C166,Parámetros!$B$5),"")</f>
        <v/>
      </c>
      <c r="E166" s="23" t="str">
        <f t="shared" ca="1" si="32"/>
        <v/>
      </c>
      <c r="F166" s="33" t="str">
        <f ca="1">IF(B166,ABS(IF(E166="INTERVENCIÓN",NORMINV(RAND(),Parámetros!$B$13,Parámetros!$B$14),0)),"")</f>
        <v/>
      </c>
      <c r="G166" s="33" t="str">
        <f t="shared" ca="1" si="33"/>
        <v/>
      </c>
      <c r="H166" s="33" t="str">
        <f t="shared" ca="1" si="34"/>
        <v/>
      </c>
      <c r="I166" s="33" t="str">
        <f t="shared" ca="1" si="35"/>
        <v/>
      </c>
      <c r="J166" s="23" t="str">
        <f t="shared" ca="1" si="36"/>
        <v/>
      </c>
      <c r="K166" s="33" t="str">
        <f t="shared" ca="1" si="37"/>
        <v/>
      </c>
      <c r="L166" s="33" t="str">
        <f ca="1">IF(B166,MIN(Parámetros!$B$5-D166,-Parámetros!$B$12*LN(1-RAND())),"")</f>
        <v/>
      </c>
      <c r="M166" s="33" t="str">
        <f t="shared" ca="1" si="38"/>
        <v/>
      </c>
      <c r="N166" s="22" t="str">
        <f t="shared" ca="1" si="39"/>
        <v>-</v>
      </c>
      <c r="O166" s="22" t="str">
        <f ca="1">IF(E166="INTERVENCIÓN",IF(N166&gt;=Parámetros!$B$7,"SÍ","NO"),"-")</f>
        <v>-</v>
      </c>
      <c r="P166" s="23" t="str">
        <f ca="1">IF(E166="INTERVENCIÓN",IF(N166&gt;=Parámetros!$B$7,CHOOSE(RANDBETWEEN(1,2),"APROBADO","NO APROBADO"),"NO APROBADA - Sin quórum"),"-")</f>
        <v>-</v>
      </c>
    </row>
    <row r="167" spans="1:16" x14ac:dyDescent="0.45">
      <c r="A167" s="23" t="str">
        <f t="shared" ref="A167:A202" ca="1" si="40">IF(B167,A166+1,"")</f>
        <v/>
      </c>
      <c r="B167" s="23">
        <f ca="1">IF(AND(ISNUMBER(D166),D166&lt;Parámetros!$B$5,ISNUMBER(K166),K166&lt;Parámetros!$B$5,A166&lt;MIN(Parámetros!$B$4,Parámetros!$B$10)),1,0)</f>
        <v>0</v>
      </c>
      <c r="C167" s="33" t="str">
        <f ca="1">IF(B167,-Parámetros!$B$11*LN(1-RAND()),"")</f>
        <v/>
      </c>
      <c r="D167" s="33" t="str">
        <f ca="1">IF(B167,MIN(D166+C167,Parámetros!$B$5),"")</f>
        <v/>
      </c>
      <c r="E167" s="23" t="str">
        <f t="shared" ref="E167:E202" ca="1" si="41">IF(B167,CHOOSE(RANDBETWEEN(1,2),"INTERVENCIÓN","VOTACIÓN"),"")</f>
        <v/>
      </c>
      <c r="F167" s="33" t="str">
        <f ca="1">IF(B167,ABS(IF(E167="INTERVENCIÓN",NORMINV(RAND(),Parámetros!$B$13,Parámetros!$B$14),0)),"")</f>
        <v/>
      </c>
      <c r="G167" s="33" t="str">
        <f t="shared" ref="G167:G202" ca="1" si="42">IF(B167,IF(E167="INTERVENCIÓN",K166,"Sin intervención"),"")</f>
        <v/>
      </c>
      <c r="H167" s="33" t="str">
        <f t="shared" ref="H167:H202" ca="1" si="43">IF(B167,IF(G167="Sin intervención","Sin intervención",F167+G167),"")</f>
        <v/>
      </c>
      <c r="I167" s="33" t="str">
        <f t="shared" ref="I167:I202" ca="1" si="44">IF(B167,IF(E167="VOTACIÓN",I166,H167),"")</f>
        <v/>
      </c>
      <c r="J167" s="23" t="str">
        <f t="shared" ref="J167:J202" ca="1" si="45">IF(B167,IF(E167="INTERVENCIÓN",RANDBETWEEN(2,5),0),"")</f>
        <v/>
      </c>
      <c r="K167" s="33" t="str">
        <f t="shared" ref="K167:K202" ca="1" si="46">IF(B167,IF(E167="VOTACIÓN",K166,I167+J167),"")</f>
        <v/>
      </c>
      <c r="L167" s="33" t="str">
        <f ca="1">IF(B167,MIN(Parámetros!$B$5-D167,-Parámetros!$B$12*LN(1-RAND())),"")</f>
        <v/>
      </c>
      <c r="M167" s="33" t="str">
        <f t="shared" ref="M167:M202" ca="1" si="47">IF(B167,D167+L167,"")</f>
        <v/>
      </c>
      <c r="N167" s="22" t="str">
        <f t="shared" ca="1" si="39"/>
        <v>-</v>
      </c>
      <c r="O167" s="22" t="str">
        <f ca="1">IF(E167="INTERVENCIÓN",IF(N167&gt;=Parámetros!$B$7,"SÍ","NO"),"-")</f>
        <v>-</v>
      </c>
      <c r="P167" s="23" t="str">
        <f ca="1">IF(E167="INTERVENCIÓN",IF(N167&gt;=Parámetros!$B$7,CHOOSE(RANDBETWEEN(1,2),"APROBADO","NO APROBADO"),"NO APROBADA - Sin quórum"),"-")</f>
        <v>-</v>
      </c>
    </row>
    <row r="168" spans="1:16" x14ac:dyDescent="0.45">
      <c r="A168" s="23" t="str">
        <f t="shared" ca="1" si="40"/>
        <v/>
      </c>
      <c r="B168" s="23">
        <f ca="1">IF(AND(ISNUMBER(D167),D167&lt;Parámetros!$B$5,ISNUMBER(K167),K167&lt;Parámetros!$B$5,A167&lt;MIN(Parámetros!$B$4,Parámetros!$B$10)),1,0)</f>
        <v>0</v>
      </c>
      <c r="C168" s="33" t="str">
        <f ca="1">IF(B168,-Parámetros!$B$11*LN(1-RAND()),"")</f>
        <v/>
      </c>
      <c r="D168" s="33" t="str">
        <f ca="1">IF(B168,MIN(D167+C168,Parámetros!$B$5),"")</f>
        <v/>
      </c>
      <c r="E168" s="23" t="str">
        <f t="shared" ca="1" si="41"/>
        <v/>
      </c>
      <c r="F168" s="33" t="str">
        <f ca="1">IF(B168,ABS(IF(E168="INTERVENCIÓN",NORMINV(RAND(),Parámetros!$B$13,Parámetros!$B$14),0)),"")</f>
        <v/>
      </c>
      <c r="G168" s="33" t="str">
        <f t="shared" ca="1" si="42"/>
        <v/>
      </c>
      <c r="H168" s="33" t="str">
        <f t="shared" ca="1" si="43"/>
        <v/>
      </c>
      <c r="I168" s="33" t="str">
        <f t="shared" ca="1" si="44"/>
        <v/>
      </c>
      <c r="J168" s="23" t="str">
        <f t="shared" ca="1" si="45"/>
        <v/>
      </c>
      <c r="K168" s="33" t="str">
        <f t="shared" ca="1" si="46"/>
        <v/>
      </c>
      <c r="L168" s="33" t="str">
        <f ca="1">IF(B168,MIN(Parámetros!$B$5-D168,-Parámetros!$B$12*LN(1-RAND())),"")</f>
        <v/>
      </c>
      <c r="M168" s="33" t="str">
        <f t="shared" ca="1" si="47"/>
        <v/>
      </c>
      <c r="N168" s="22" t="str">
        <f t="shared" ca="1" si="39"/>
        <v>-</v>
      </c>
      <c r="O168" s="22" t="str">
        <f ca="1">IF(E168="INTERVENCIÓN",IF(N168&gt;=Parámetros!$B$7,"SÍ","NO"),"-")</f>
        <v>-</v>
      </c>
      <c r="P168" s="23" t="str">
        <f ca="1">IF(E168="INTERVENCIÓN",IF(N168&gt;=Parámetros!$B$7,CHOOSE(RANDBETWEEN(1,2),"APROBADO","NO APROBADO"),"NO APROBADA - Sin quórum"),"-")</f>
        <v>-</v>
      </c>
    </row>
    <row r="169" spans="1:16" x14ac:dyDescent="0.45">
      <c r="A169" s="23" t="str">
        <f t="shared" ca="1" si="40"/>
        <v/>
      </c>
      <c r="B169" s="23">
        <f ca="1">IF(AND(ISNUMBER(D168),D168&lt;Parámetros!$B$5,ISNUMBER(K168),K168&lt;Parámetros!$B$5,A168&lt;MIN(Parámetros!$B$4,Parámetros!$B$10)),1,0)</f>
        <v>0</v>
      </c>
      <c r="C169" s="33" t="str">
        <f ca="1">IF(B169,-Parámetros!$B$11*LN(1-RAND()),"")</f>
        <v/>
      </c>
      <c r="D169" s="33" t="str">
        <f ca="1">IF(B169,MIN(D168+C169,Parámetros!$B$5),"")</f>
        <v/>
      </c>
      <c r="E169" s="23" t="str">
        <f t="shared" ca="1" si="41"/>
        <v/>
      </c>
      <c r="F169" s="33" t="str">
        <f ca="1">IF(B169,ABS(IF(E169="INTERVENCIÓN",NORMINV(RAND(),Parámetros!$B$13,Parámetros!$B$14),0)),"")</f>
        <v/>
      </c>
      <c r="G169" s="33" t="str">
        <f t="shared" ca="1" si="42"/>
        <v/>
      </c>
      <c r="H169" s="33" t="str">
        <f t="shared" ca="1" si="43"/>
        <v/>
      </c>
      <c r="I169" s="33" t="str">
        <f t="shared" ca="1" si="44"/>
        <v/>
      </c>
      <c r="J169" s="23" t="str">
        <f t="shared" ca="1" si="45"/>
        <v/>
      </c>
      <c r="K169" s="33" t="str">
        <f t="shared" ca="1" si="46"/>
        <v/>
      </c>
      <c r="L169" s="33" t="str">
        <f ca="1">IF(B169,MIN(Parámetros!$B$5-D169,-Parámetros!$B$12*LN(1-RAND())),"")</f>
        <v/>
      </c>
      <c r="M169" s="33" t="str">
        <f t="shared" ca="1" si="47"/>
        <v/>
      </c>
      <c r="N169" s="22" t="str">
        <f t="shared" ca="1" si="39"/>
        <v>-</v>
      </c>
      <c r="O169" s="22" t="str">
        <f ca="1">IF(E169="INTERVENCIÓN",IF(N169&gt;=Parámetros!$B$7,"SÍ","NO"),"-")</f>
        <v>-</v>
      </c>
      <c r="P169" s="23" t="str">
        <f ca="1">IF(E169="INTERVENCIÓN",IF(N169&gt;=Parámetros!$B$7,CHOOSE(RANDBETWEEN(1,2),"APROBADO","NO APROBADO"),"NO APROBADA - Sin quórum"),"-")</f>
        <v>-</v>
      </c>
    </row>
    <row r="170" spans="1:16" x14ac:dyDescent="0.45">
      <c r="A170" s="23" t="str">
        <f t="shared" ca="1" si="40"/>
        <v/>
      </c>
      <c r="B170" s="23">
        <f ca="1">IF(AND(ISNUMBER(D169),D169&lt;Parámetros!$B$5,ISNUMBER(K169),K169&lt;Parámetros!$B$5,A169&lt;MIN(Parámetros!$B$4,Parámetros!$B$10)),1,0)</f>
        <v>0</v>
      </c>
      <c r="C170" s="33" t="str">
        <f ca="1">IF(B170,-Parámetros!$B$11*LN(1-RAND()),"")</f>
        <v/>
      </c>
      <c r="D170" s="33" t="str">
        <f ca="1">IF(B170,MIN(D169+C170,Parámetros!$B$5),"")</f>
        <v/>
      </c>
      <c r="E170" s="23" t="str">
        <f t="shared" ca="1" si="41"/>
        <v/>
      </c>
      <c r="F170" s="33" t="str">
        <f ca="1">IF(B170,ABS(IF(E170="INTERVENCIÓN",NORMINV(RAND(),Parámetros!$B$13,Parámetros!$B$14),0)),"")</f>
        <v/>
      </c>
      <c r="G170" s="33" t="str">
        <f t="shared" ca="1" si="42"/>
        <v/>
      </c>
      <c r="H170" s="33" t="str">
        <f t="shared" ca="1" si="43"/>
        <v/>
      </c>
      <c r="I170" s="33" t="str">
        <f t="shared" ca="1" si="44"/>
        <v/>
      </c>
      <c r="J170" s="23" t="str">
        <f t="shared" ca="1" si="45"/>
        <v/>
      </c>
      <c r="K170" s="33" t="str">
        <f t="shared" ca="1" si="46"/>
        <v/>
      </c>
      <c r="L170" s="33" t="str">
        <f ca="1">IF(B170,MIN(Parámetros!$B$5-D170,-Parámetros!$B$12*LN(1-RAND())),"")</f>
        <v/>
      </c>
      <c r="M170" s="33" t="str">
        <f t="shared" ca="1" si="47"/>
        <v/>
      </c>
      <c r="N170" s="22" t="str">
        <f t="shared" ca="1" si="39"/>
        <v>-</v>
      </c>
      <c r="O170" s="22" t="str">
        <f ca="1">IF(E170="INTERVENCIÓN",IF(N170&gt;=Parámetros!$B$7,"SÍ","NO"),"-")</f>
        <v>-</v>
      </c>
      <c r="P170" s="23" t="str">
        <f ca="1">IF(E170="INTERVENCIÓN",IF(N170&gt;=Parámetros!$B$7,CHOOSE(RANDBETWEEN(1,2),"APROBADO","NO APROBADO"),"NO APROBADA - Sin quórum"),"-")</f>
        <v>-</v>
      </c>
    </row>
    <row r="171" spans="1:16" x14ac:dyDescent="0.45">
      <c r="A171" s="23" t="str">
        <f t="shared" ca="1" si="40"/>
        <v/>
      </c>
      <c r="B171" s="23">
        <f ca="1">IF(AND(ISNUMBER(D170),D170&lt;Parámetros!$B$5,ISNUMBER(K170),K170&lt;Parámetros!$B$5,A170&lt;MIN(Parámetros!$B$4,Parámetros!$B$10)),1,0)</f>
        <v>0</v>
      </c>
      <c r="C171" s="33" t="str">
        <f ca="1">IF(B171,-Parámetros!$B$11*LN(1-RAND()),"")</f>
        <v/>
      </c>
      <c r="D171" s="33" t="str">
        <f ca="1">IF(B171,MIN(D170+C171,Parámetros!$B$5),"")</f>
        <v/>
      </c>
      <c r="E171" s="23" t="str">
        <f t="shared" ca="1" si="41"/>
        <v/>
      </c>
      <c r="F171" s="33" t="str">
        <f ca="1">IF(B171,ABS(IF(E171="INTERVENCIÓN",NORMINV(RAND(),Parámetros!$B$13,Parámetros!$B$14),0)),"")</f>
        <v/>
      </c>
      <c r="G171" s="33" t="str">
        <f t="shared" ca="1" si="42"/>
        <v/>
      </c>
      <c r="H171" s="33" t="str">
        <f t="shared" ca="1" si="43"/>
        <v/>
      </c>
      <c r="I171" s="33" t="str">
        <f t="shared" ca="1" si="44"/>
        <v/>
      </c>
      <c r="J171" s="23" t="str">
        <f t="shared" ca="1" si="45"/>
        <v/>
      </c>
      <c r="K171" s="33" t="str">
        <f t="shared" ca="1" si="46"/>
        <v/>
      </c>
      <c r="L171" s="33" t="str">
        <f ca="1">IF(B171,MIN(Parámetros!$B$5-D171,-Parámetros!$B$12*LN(1-RAND())),"")</f>
        <v/>
      </c>
      <c r="M171" s="33" t="str">
        <f t="shared" ca="1" si="47"/>
        <v/>
      </c>
      <c r="N171" s="22" t="str">
        <f t="shared" ca="1" si="39"/>
        <v>-</v>
      </c>
      <c r="O171" s="22" t="str">
        <f ca="1">IF(E171="INTERVENCIÓN",IF(N171&gt;=Parámetros!$B$7,"SÍ","NO"),"-")</f>
        <v>-</v>
      </c>
      <c r="P171" s="23" t="str">
        <f ca="1">IF(E171="INTERVENCIÓN",IF(N171&gt;=Parámetros!$B$7,CHOOSE(RANDBETWEEN(1,2),"APROBADO","NO APROBADO"),"NO APROBADA - Sin quórum"),"-")</f>
        <v>-</v>
      </c>
    </row>
    <row r="172" spans="1:16" x14ac:dyDescent="0.45">
      <c r="A172" s="23" t="str">
        <f t="shared" ca="1" si="40"/>
        <v/>
      </c>
      <c r="B172" s="23">
        <f ca="1">IF(AND(ISNUMBER(D171),D171&lt;Parámetros!$B$5,ISNUMBER(K171),K171&lt;Parámetros!$B$5,A171&lt;MIN(Parámetros!$B$4,Parámetros!$B$10)),1,0)</f>
        <v>0</v>
      </c>
      <c r="C172" s="33" t="str">
        <f ca="1">IF(B172,-Parámetros!$B$11*LN(1-RAND()),"")</f>
        <v/>
      </c>
      <c r="D172" s="33" t="str">
        <f ca="1">IF(B172,MIN(D171+C172,Parámetros!$B$5),"")</f>
        <v/>
      </c>
      <c r="E172" s="23" t="str">
        <f t="shared" ca="1" si="41"/>
        <v/>
      </c>
      <c r="F172" s="33" t="str">
        <f ca="1">IF(B172,ABS(IF(E172="INTERVENCIÓN",NORMINV(RAND(),Parámetros!$B$13,Parámetros!$B$14),0)),"")</f>
        <v/>
      </c>
      <c r="G172" s="33" t="str">
        <f t="shared" ca="1" si="42"/>
        <v/>
      </c>
      <c r="H172" s="33" t="str">
        <f t="shared" ca="1" si="43"/>
        <v/>
      </c>
      <c r="I172" s="33" t="str">
        <f t="shared" ca="1" si="44"/>
        <v/>
      </c>
      <c r="J172" s="23" t="str">
        <f t="shared" ca="1" si="45"/>
        <v/>
      </c>
      <c r="K172" s="33" t="str">
        <f t="shared" ca="1" si="46"/>
        <v/>
      </c>
      <c r="L172" s="33" t="str">
        <f ca="1">IF(B172,MIN(Parámetros!$B$5-D172,-Parámetros!$B$12*LN(1-RAND())),"")</f>
        <v/>
      </c>
      <c r="M172" s="33" t="str">
        <f t="shared" ca="1" si="47"/>
        <v/>
      </c>
      <c r="N172" s="22" t="str">
        <f t="shared" ca="1" si="39"/>
        <v>-</v>
      </c>
      <c r="O172" s="22" t="str">
        <f ca="1">IF(E172="INTERVENCIÓN",IF(N172&gt;=Parámetros!$B$7,"SÍ","NO"),"-")</f>
        <v>-</v>
      </c>
      <c r="P172" s="23" t="str">
        <f ca="1">IF(E172="INTERVENCIÓN",IF(N172&gt;=Parámetros!$B$7,CHOOSE(RANDBETWEEN(1,2),"APROBADO","NO APROBADO"),"NO APROBADA - Sin quórum"),"-")</f>
        <v>-</v>
      </c>
    </row>
    <row r="173" spans="1:16" x14ac:dyDescent="0.45">
      <c r="A173" s="23" t="str">
        <f t="shared" ca="1" si="40"/>
        <v/>
      </c>
      <c r="B173" s="23">
        <f ca="1">IF(AND(ISNUMBER(D172),D172&lt;Parámetros!$B$5,ISNUMBER(K172),K172&lt;Parámetros!$B$5,A172&lt;MIN(Parámetros!$B$4,Parámetros!$B$10)),1,0)</f>
        <v>0</v>
      </c>
      <c r="C173" s="33" t="str">
        <f ca="1">IF(B173,-Parámetros!$B$11*LN(1-RAND()),"")</f>
        <v/>
      </c>
      <c r="D173" s="33" t="str">
        <f ca="1">IF(B173,MIN(D172+C173,Parámetros!$B$5),"")</f>
        <v/>
      </c>
      <c r="E173" s="23" t="str">
        <f t="shared" ca="1" si="41"/>
        <v/>
      </c>
      <c r="F173" s="33" t="str">
        <f ca="1">IF(B173,ABS(IF(E173="INTERVENCIÓN",NORMINV(RAND(),Parámetros!$B$13,Parámetros!$B$14),0)),"")</f>
        <v/>
      </c>
      <c r="G173" s="33" t="str">
        <f t="shared" ca="1" si="42"/>
        <v/>
      </c>
      <c r="H173" s="33" t="str">
        <f t="shared" ca="1" si="43"/>
        <v/>
      </c>
      <c r="I173" s="33" t="str">
        <f t="shared" ca="1" si="44"/>
        <v/>
      </c>
      <c r="J173" s="23" t="str">
        <f t="shared" ca="1" si="45"/>
        <v/>
      </c>
      <c r="K173" s="33" t="str">
        <f t="shared" ca="1" si="46"/>
        <v/>
      </c>
      <c r="L173" s="33" t="str">
        <f ca="1">IF(B173,MIN(Parámetros!$B$5-D173,-Parámetros!$B$12*LN(1-RAND())),"")</f>
        <v/>
      </c>
      <c r="M173" s="33" t="str">
        <f t="shared" ca="1" si="47"/>
        <v/>
      </c>
      <c r="N173" s="22" t="str">
        <f t="shared" ca="1" si="39"/>
        <v>-</v>
      </c>
      <c r="O173" s="22" t="str">
        <f ca="1">IF(E173="INTERVENCIÓN",IF(N173&gt;=Parámetros!$B$7,"SÍ","NO"),"-")</f>
        <v>-</v>
      </c>
      <c r="P173" s="23" t="str">
        <f ca="1">IF(E173="INTERVENCIÓN",IF(N173&gt;=Parámetros!$B$7,CHOOSE(RANDBETWEEN(1,2),"APROBADO","NO APROBADO"),"NO APROBADA - Sin quórum"),"-")</f>
        <v>-</v>
      </c>
    </row>
    <row r="174" spans="1:16" x14ac:dyDescent="0.45">
      <c r="A174" s="23" t="str">
        <f t="shared" ca="1" si="40"/>
        <v/>
      </c>
      <c r="B174" s="23">
        <f ca="1">IF(AND(ISNUMBER(D173),D173&lt;Parámetros!$B$5,ISNUMBER(K173),K173&lt;Parámetros!$B$5,A173&lt;MIN(Parámetros!$B$4,Parámetros!$B$10)),1,0)</f>
        <v>0</v>
      </c>
      <c r="C174" s="33" t="str">
        <f ca="1">IF(B174,-Parámetros!$B$11*LN(1-RAND()),"")</f>
        <v/>
      </c>
      <c r="D174" s="33" t="str">
        <f ca="1">IF(B174,MIN(D173+C174,Parámetros!$B$5),"")</f>
        <v/>
      </c>
      <c r="E174" s="23" t="str">
        <f t="shared" ca="1" si="41"/>
        <v/>
      </c>
      <c r="F174" s="33" t="str">
        <f ca="1">IF(B174,ABS(IF(E174="INTERVENCIÓN",NORMINV(RAND(),Parámetros!$B$13,Parámetros!$B$14),0)),"")</f>
        <v/>
      </c>
      <c r="G174" s="33" t="str">
        <f t="shared" ca="1" si="42"/>
        <v/>
      </c>
      <c r="H174" s="33" t="str">
        <f t="shared" ca="1" si="43"/>
        <v/>
      </c>
      <c r="I174" s="33" t="str">
        <f t="shared" ca="1" si="44"/>
        <v/>
      </c>
      <c r="J174" s="23" t="str">
        <f t="shared" ca="1" si="45"/>
        <v/>
      </c>
      <c r="K174" s="33" t="str">
        <f t="shared" ca="1" si="46"/>
        <v/>
      </c>
      <c r="L174" s="33" t="str">
        <f ca="1">IF(B174,MIN(Parámetros!$B$5-D174,-Parámetros!$B$12*LN(1-RAND())),"")</f>
        <v/>
      </c>
      <c r="M174" s="33" t="str">
        <f t="shared" ca="1" si="47"/>
        <v/>
      </c>
      <c r="N174" s="22" t="str">
        <f t="shared" ca="1" si="39"/>
        <v>-</v>
      </c>
      <c r="O174" s="22" t="str">
        <f ca="1">IF(E174="INTERVENCIÓN",IF(N174&gt;=Parámetros!$B$7,"SÍ","NO"),"-")</f>
        <v>-</v>
      </c>
      <c r="P174" s="23" t="str">
        <f ca="1">IF(E174="INTERVENCIÓN",IF(N174&gt;=Parámetros!$B$7,CHOOSE(RANDBETWEEN(1,2),"APROBADO","NO APROBADO"),"NO APROBADA - Sin quórum"),"-")</f>
        <v>-</v>
      </c>
    </row>
    <row r="175" spans="1:16" x14ac:dyDescent="0.45">
      <c r="A175" s="23" t="str">
        <f t="shared" ca="1" si="40"/>
        <v/>
      </c>
      <c r="B175" s="23">
        <f ca="1">IF(AND(ISNUMBER(D174),D174&lt;Parámetros!$B$5,ISNUMBER(K174),K174&lt;Parámetros!$B$5,A174&lt;MIN(Parámetros!$B$4,Parámetros!$B$10)),1,0)</f>
        <v>0</v>
      </c>
      <c r="C175" s="33" t="str">
        <f ca="1">IF(B175,-Parámetros!$B$11*LN(1-RAND()),"")</f>
        <v/>
      </c>
      <c r="D175" s="33" t="str">
        <f ca="1">IF(B175,MIN(D174+C175,Parámetros!$B$5),"")</f>
        <v/>
      </c>
      <c r="E175" s="23" t="str">
        <f t="shared" ca="1" si="41"/>
        <v/>
      </c>
      <c r="F175" s="33" t="str">
        <f ca="1">IF(B175,ABS(IF(E175="INTERVENCIÓN",NORMINV(RAND(),Parámetros!$B$13,Parámetros!$B$14),0)),"")</f>
        <v/>
      </c>
      <c r="G175" s="33" t="str">
        <f t="shared" ca="1" si="42"/>
        <v/>
      </c>
      <c r="H175" s="33" t="str">
        <f t="shared" ca="1" si="43"/>
        <v/>
      </c>
      <c r="I175" s="33" t="str">
        <f t="shared" ca="1" si="44"/>
        <v/>
      </c>
      <c r="J175" s="23" t="str">
        <f t="shared" ca="1" si="45"/>
        <v/>
      </c>
      <c r="K175" s="33" t="str">
        <f t="shared" ca="1" si="46"/>
        <v/>
      </c>
      <c r="L175" s="33" t="str">
        <f ca="1">IF(B175,MIN(Parámetros!$B$5-D175,-Parámetros!$B$12*LN(1-RAND())),"")</f>
        <v/>
      </c>
      <c r="M175" s="33" t="str">
        <f t="shared" ca="1" si="47"/>
        <v/>
      </c>
      <c r="N175" s="22" t="str">
        <f t="shared" ca="1" si="39"/>
        <v>-</v>
      </c>
      <c r="O175" s="22" t="str">
        <f ca="1">IF(E175="INTERVENCIÓN",IF(N175&gt;=Parámetros!$B$7,"SÍ","NO"),"-")</f>
        <v>-</v>
      </c>
      <c r="P175" s="23" t="str">
        <f ca="1">IF(E175="INTERVENCIÓN",IF(N175&gt;=Parámetros!$B$7,CHOOSE(RANDBETWEEN(1,2),"APROBADO","NO APROBADO"),"NO APROBADA - Sin quórum"),"-")</f>
        <v>-</v>
      </c>
    </row>
    <row r="176" spans="1:16" x14ac:dyDescent="0.45">
      <c r="A176" s="23" t="str">
        <f t="shared" ca="1" si="40"/>
        <v/>
      </c>
      <c r="B176" s="23">
        <f ca="1">IF(AND(ISNUMBER(D175),D175&lt;Parámetros!$B$5,ISNUMBER(K175),K175&lt;Parámetros!$B$5,A175&lt;MIN(Parámetros!$B$4,Parámetros!$B$10)),1,0)</f>
        <v>0</v>
      </c>
      <c r="C176" s="33" t="str">
        <f ca="1">IF(B176,-Parámetros!$B$11*LN(1-RAND()),"")</f>
        <v/>
      </c>
      <c r="D176" s="33" t="str">
        <f ca="1">IF(B176,MIN(D175+C176,Parámetros!$B$5),"")</f>
        <v/>
      </c>
      <c r="E176" s="23" t="str">
        <f t="shared" ca="1" si="41"/>
        <v/>
      </c>
      <c r="F176" s="33" t="str">
        <f ca="1">IF(B176,ABS(IF(E176="INTERVENCIÓN",NORMINV(RAND(),Parámetros!$B$13,Parámetros!$B$14),0)),"")</f>
        <v/>
      </c>
      <c r="G176" s="33" t="str">
        <f t="shared" ca="1" si="42"/>
        <v/>
      </c>
      <c r="H176" s="33" t="str">
        <f t="shared" ca="1" si="43"/>
        <v/>
      </c>
      <c r="I176" s="33" t="str">
        <f t="shared" ca="1" si="44"/>
        <v/>
      </c>
      <c r="J176" s="23" t="str">
        <f t="shared" ca="1" si="45"/>
        <v/>
      </c>
      <c r="K176" s="33" t="str">
        <f t="shared" ca="1" si="46"/>
        <v/>
      </c>
      <c r="L176" s="33" t="str">
        <f ca="1">IF(B176,MIN(Parámetros!$B$5-D176,-Parámetros!$B$12*LN(1-RAND())),"")</f>
        <v/>
      </c>
      <c r="M176" s="33" t="str">
        <f t="shared" ca="1" si="47"/>
        <v/>
      </c>
      <c r="N176" s="22" t="str">
        <f t="shared" ca="1" si="39"/>
        <v>-</v>
      </c>
      <c r="O176" s="22" t="str">
        <f ca="1">IF(E176="INTERVENCIÓN",IF(N176&gt;=Parámetros!$B$7,"SÍ","NO"),"-")</f>
        <v>-</v>
      </c>
      <c r="P176" s="23" t="str">
        <f ca="1">IF(E176="INTERVENCIÓN",IF(N176&gt;=Parámetros!$B$7,CHOOSE(RANDBETWEEN(1,2),"APROBADO","NO APROBADO"),"NO APROBADA - Sin quórum"),"-")</f>
        <v>-</v>
      </c>
    </row>
    <row r="177" spans="1:16" x14ac:dyDescent="0.45">
      <c r="A177" s="23" t="str">
        <f t="shared" ca="1" si="40"/>
        <v/>
      </c>
      <c r="B177" s="23">
        <f ca="1">IF(AND(ISNUMBER(D176),D176&lt;Parámetros!$B$5,ISNUMBER(K176),K176&lt;Parámetros!$B$5,A176&lt;MIN(Parámetros!$B$4,Parámetros!$B$10)),1,0)</f>
        <v>0</v>
      </c>
      <c r="C177" s="33" t="str">
        <f ca="1">IF(B177,-Parámetros!$B$11*LN(1-RAND()),"")</f>
        <v/>
      </c>
      <c r="D177" s="33" t="str">
        <f ca="1">IF(B177,MIN(D176+C177,Parámetros!$B$5),"")</f>
        <v/>
      </c>
      <c r="E177" s="23" t="str">
        <f t="shared" ca="1" si="41"/>
        <v/>
      </c>
      <c r="F177" s="33" t="str">
        <f ca="1">IF(B177,ABS(IF(E177="INTERVENCIÓN",NORMINV(RAND(),Parámetros!$B$13,Parámetros!$B$14),0)),"")</f>
        <v/>
      </c>
      <c r="G177" s="33" t="str">
        <f t="shared" ca="1" si="42"/>
        <v/>
      </c>
      <c r="H177" s="33" t="str">
        <f t="shared" ca="1" si="43"/>
        <v/>
      </c>
      <c r="I177" s="33" t="str">
        <f t="shared" ca="1" si="44"/>
        <v/>
      </c>
      <c r="J177" s="23" t="str">
        <f t="shared" ca="1" si="45"/>
        <v/>
      </c>
      <c r="K177" s="33" t="str">
        <f t="shared" ca="1" si="46"/>
        <v/>
      </c>
      <c r="L177" s="33" t="str">
        <f ca="1">IF(B177,MIN(Parámetros!$B$5-D177,-Parámetros!$B$12*LN(1-RAND())),"")</f>
        <v/>
      </c>
      <c r="M177" s="33" t="str">
        <f t="shared" ca="1" si="47"/>
        <v/>
      </c>
      <c r="N177" s="22" t="str">
        <f t="shared" ca="1" si="39"/>
        <v>-</v>
      </c>
      <c r="O177" s="22" t="str">
        <f ca="1">IF(E177="INTERVENCIÓN",IF(N177&gt;=Parámetros!$B$7,"SÍ","NO"),"-")</f>
        <v>-</v>
      </c>
      <c r="P177" s="23" t="str">
        <f ca="1">IF(E177="INTERVENCIÓN",IF(N177&gt;=Parámetros!$B$7,CHOOSE(RANDBETWEEN(1,2),"APROBADO","NO APROBADO"),"NO APROBADA - Sin quórum"),"-")</f>
        <v>-</v>
      </c>
    </row>
    <row r="178" spans="1:16" x14ac:dyDescent="0.45">
      <c r="A178" s="23" t="str">
        <f t="shared" ca="1" si="40"/>
        <v/>
      </c>
      <c r="B178" s="23">
        <f ca="1">IF(AND(ISNUMBER(D177),D177&lt;Parámetros!$B$5,ISNUMBER(K177),K177&lt;Parámetros!$B$5,A177&lt;MIN(Parámetros!$B$4,Parámetros!$B$10)),1,0)</f>
        <v>0</v>
      </c>
      <c r="C178" s="33" t="str">
        <f ca="1">IF(B178,-Parámetros!$B$11*LN(1-RAND()),"")</f>
        <v/>
      </c>
      <c r="D178" s="33" t="str">
        <f ca="1">IF(B178,MIN(D177+C178,Parámetros!$B$5),"")</f>
        <v/>
      </c>
      <c r="E178" s="23" t="str">
        <f t="shared" ca="1" si="41"/>
        <v/>
      </c>
      <c r="F178" s="33" t="str">
        <f ca="1">IF(B178,ABS(IF(E178="INTERVENCIÓN",NORMINV(RAND(),Parámetros!$B$13,Parámetros!$B$14),0)),"")</f>
        <v/>
      </c>
      <c r="G178" s="33" t="str">
        <f t="shared" ca="1" si="42"/>
        <v/>
      </c>
      <c r="H178" s="33" t="str">
        <f t="shared" ca="1" si="43"/>
        <v/>
      </c>
      <c r="I178" s="33" t="str">
        <f t="shared" ca="1" si="44"/>
        <v/>
      </c>
      <c r="J178" s="23" t="str">
        <f t="shared" ca="1" si="45"/>
        <v/>
      </c>
      <c r="K178" s="33" t="str">
        <f t="shared" ca="1" si="46"/>
        <v/>
      </c>
      <c r="L178" s="33" t="str">
        <f ca="1">IF(B178,MIN(Parámetros!$B$5-D178,-Parámetros!$B$12*LN(1-RAND())),"")</f>
        <v/>
      </c>
      <c r="M178" s="33" t="str">
        <f t="shared" ca="1" si="47"/>
        <v/>
      </c>
      <c r="N178" s="22" t="str">
        <f t="shared" ca="1" si="39"/>
        <v>-</v>
      </c>
      <c r="O178" s="22" t="str">
        <f ca="1">IF(E178="INTERVENCIÓN",IF(N178&gt;=Parámetros!$B$7,"SÍ","NO"),"-")</f>
        <v>-</v>
      </c>
      <c r="P178" s="23" t="str">
        <f ca="1">IF(E178="INTERVENCIÓN",IF(N178&gt;=Parámetros!$B$7,CHOOSE(RANDBETWEEN(1,2),"APROBADO","NO APROBADO"),"NO APROBADA - Sin quórum"),"-")</f>
        <v>-</v>
      </c>
    </row>
    <row r="179" spans="1:16" x14ac:dyDescent="0.45">
      <c r="A179" s="23" t="str">
        <f t="shared" ca="1" si="40"/>
        <v/>
      </c>
      <c r="B179" s="23">
        <f ca="1">IF(AND(ISNUMBER(D178),D178&lt;Parámetros!$B$5,ISNUMBER(K178),K178&lt;Parámetros!$B$5,A178&lt;MIN(Parámetros!$B$4,Parámetros!$B$10)),1,0)</f>
        <v>0</v>
      </c>
      <c r="C179" s="33" t="str">
        <f ca="1">IF(B179,-Parámetros!$B$11*LN(1-RAND()),"")</f>
        <v/>
      </c>
      <c r="D179" s="33" t="str">
        <f ca="1">IF(B179,MIN(D178+C179,Parámetros!$B$5),"")</f>
        <v/>
      </c>
      <c r="E179" s="23" t="str">
        <f t="shared" ca="1" si="41"/>
        <v/>
      </c>
      <c r="F179" s="33" t="str">
        <f ca="1">IF(B179,ABS(IF(E179="INTERVENCIÓN",NORMINV(RAND(),Parámetros!$B$13,Parámetros!$B$14),0)),"")</f>
        <v/>
      </c>
      <c r="G179" s="33" t="str">
        <f t="shared" ca="1" si="42"/>
        <v/>
      </c>
      <c r="H179" s="33" t="str">
        <f t="shared" ca="1" si="43"/>
        <v/>
      </c>
      <c r="I179" s="33" t="str">
        <f t="shared" ca="1" si="44"/>
        <v/>
      </c>
      <c r="J179" s="23" t="str">
        <f t="shared" ca="1" si="45"/>
        <v/>
      </c>
      <c r="K179" s="33" t="str">
        <f t="shared" ca="1" si="46"/>
        <v/>
      </c>
      <c r="L179" s="33" t="str">
        <f ca="1">IF(B179,MIN(Parámetros!$B$5-D179,-Parámetros!$B$12*LN(1-RAND())),"")</f>
        <v/>
      </c>
      <c r="M179" s="33" t="str">
        <f t="shared" ca="1" si="47"/>
        <v/>
      </c>
      <c r="N179" s="22" t="str">
        <f t="shared" ca="1" si="39"/>
        <v>-</v>
      </c>
      <c r="O179" s="22" t="str">
        <f ca="1">IF(E179="INTERVENCIÓN",IF(N179&gt;=Parámetros!$B$7,"SÍ","NO"),"-")</f>
        <v>-</v>
      </c>
      <c r="P179" s="23" t="str">
        <f ca="1">IF(E179="INTERVENCIÓN",IF(N179&gt;=Parámetros!$B$7,CHOOSE(RANDBETWEEN(1,2),"APROBADO","NO APROBADO"),"NO APROBADA - Sin quórum"),"-")</f>
        <v>-</v>
      </c>
    </row>
    <row r="180" spans="1:16" x14ac:dyDescent="0.45">
      <c r="A180" s="23" t="str">
        <f t="shared" ca="1" si="40"/>
        <v/>
      </c>
      <c r="B180" s="23">
        <f ca="1">IF(AND(ISNUMBER(D179),D179&lt;Parámetros!$B$5,ISNUMBER(K179),K179&lt;Parámetros!$B$5,A179&lt;MIN(Parámetros!$B$4,Parámetros!$B$10)),1,0)</f>
        <v>0</v>
      </c>
      <c r="C180" s="33" t="str">
        <f ca="1">IF(B180,-Parámetros!$B$11*LN(1-RAND()),"")</f>
        <v/>
      </c>
      <c r="D180" s="33" t="str">
        <f ca="1">IF(B180,MIN(D179+C180,Parámetros!$B$5),"")</f>
        <v/>
      </c>
      <c r="E180" s="23" t="str">
        <f t="shared" ca="1" si="41"/>
        <v/>
      </c>
      <c r="F180" s="33" t="str">
        <f ca="1">IF(B180,ABS(IF(E180="INTERVENCIÓN",NORMINV(RAND(),Parámetros!$B$13,Parámetros!$B$14),0)),"")</f>
        <v/>
      </c>
      <c r="G180" s="33" t="str">
        <f t="shared" ca="1" si="42"/>
        <v/>
      </c>
      <c r="H180" s="33" t="str">
        <f t="shared" ca="1" si="43"/>
        <v/>
      </c>
      <c r="I180" s="33" t="str">
        <f t="shared" ca="1" si="44"/>
        <v/>
      </c>
      <c r="J180" s="23" t="str">
        <f t="shared" ca="1" si="45"/>
        <v/>
      </c>
      <c r="K180" s="33" t="str">
        <f t="shared" ca="1" si="46"/>
        <v/>
      </c>
      <c r="L180" s="33" t="str">
        <f ca="1">IF(B180,MIN(Parámetros!$B$5-D180,-Parámetros!$B$12*LN(1-RAND())),"")</f>
        <v/>
      </c>
      <c r="M180" s="33" t="str">
        <f t="shared" ca="1" si="47"/>
        <v/>
      </c>
      <c r="N180" s="22" t="str">
        <f t="shared" ca="1" si="39"/>
        <v>-</v>
      </c>
      <c r="O180" s="22" t="str">
        <f ca="1">IF(E180="INTERVENCIÓN",IF(N180&gt;=Parámetros!$B$7,"SÍ","NO"),"-")</f>
        <v>-</v>
      </c>
      <c r="P180" s="23" t="str">
        <f ca="1">IF(E180="INTERVENCIÓN",IF(N180&gt;=Parámetros!$B$7,CHOOSE(RANDBETWEEN(1,2),"APROBADO","NO APROBADO"),"NO APROBADA - Sin quórum"),"-")</f>
        <v>-</v>
      </c>
    </row>
    <row r="181" spans="1:16" x14ac:dyDescent="0.45">
      <c r="A181" s="23" t="str">
        <f t="shared" ca="1" si="40"/>
        <v/>
      </c>
      <c r="B181" s="23">
        <f ca="1">IF(AND(ISNUMBER(D180),D180&lt;Parámetros!$B$5,ISNUMBER(K180),K180&lt;Parámetros!$B$5,A180&lt;MIN(Parámetros!$B$4,Parámetros!$B$10)),1,0)</f>
        <v>0</v>
      </c>
      <c r="C181" s="33" t="str">
        <f ca="1">IF(B181,-Parámetros!$B$11*LN(1-RAND()),"")</f>
        <v/>
      </c>
      <c r="D181" s="33" t="str">
        <f ca="1">IF(B181,MIN(D180+C181,Parámetros!$B$5),"")</f>
        <v/>
      </c>
      <c r="E181" s="23" t="str">
        <f t="shared" ca="1" si="41"/>
        <v/>
      </c>
      <c r="F181" s="33" t="str">
        <f ca="1">IF(B181,ABS(IF(E181="INTERVENCIÓN",NORMINV(RAND(),Parámetros!$B$13,Parámetros!$B$14),0)),"")</f>
        <v/>
      </c>
      <c r="G181" s="33" t="str">
        <f t="shared" ca="1" si="42"/>
        <v/>
      </c>
      <c r="H181" s="33" t="str">
        <f t="shared" ca="1" si="43"/>
        <v/>
      </c>
      <c r="I181" s="33" t="str">
        <f t="shared" ca="1" si="44"/>
        <v/>
      </c>
      <c r="J181" s="23" t="str">
        <f t="shared" ca="1" si="45"/>
        <v/>
      </c>
      <c r="K181" s="33" t="str">
        <f t="shared" ca="1" si="46"/>
        <v/>
      </c>
      <c r="L181" s="33" t="str">
        <f ca="1">IF(B181,MIN(Parámetros!$B$5-D181,-Parámetros!$B$12*LN(1-RAND())),"")</f>
        <v/>
      </c>
      <c r="M181" s="33" t="str">
        <f t="shared" ca="1" si="47"/>
        <v/>
      </c>
      <c r="N181" s="22" t="str">
        <f t="shared" ca="1" si="39"/>
        <v>-</v>
      </c>
      <c r="O181" s="22" t="str">
        <f ca="1">IF(E181="INTERVENCIÓN",IF(N181&gt;=Parámetros!$B$7,"SÍ","NO"),"-")</f>
        <v>-</v>
      </c>
      <c r="P181" s="23" t="str">
        <f ca="1">IF(E181="INTERVENCIÓN",IF(N181&gt;=Parámetros!$B$7,CHOOSE(RANDBETWEEN(1,2),"APROBADO","NO APROBADO"),"NO APROBADA - Sin quórum"),"-")</f>
        <v>-</v>
      </c>
    </row>
    <row r="182" spans="1:16" x14ac:dyDescent="0.45">
      <c r="A182" s="23" t="str">
        <f t="shared" ca="1" si="40"/>
        <v/>
      </c>
      <c r="B182" s="23">
        <f ca="1">IF(AND(ISNUMBER(D181),D181&lt;Parámetros!$B$5,ISNUMBER(K181),K181&lt;Parámetros!$B$5,A181&lt;MIN(Parámetros!$B$4,Parámetros!$B$10)),1,0)</f>
        <v>0</v>
      </c>
      <c r="C182" s="33" t="str">
        <f ca="1">IF(B182,-Parámetros!$B$11*LN(1-RAND()),"")</f>
        <v/>
      </c>
      <c r="D182" s="33" t="str">
        <f ca="1">IF(B182,MIN(D181+C182,Parámetros!$B$5),"")</f>
        <v/>
      </c>
      <c r="E182" s="23" t="str">
        <f t="shared" ca="1" si="41"/>
        <v/>
      </c>
      <c r="F182" s="33" t="str">
        <f ca="1">IF(B182,ABS(IF(E182="INTERVENCIÓN",NORMINV(RAND(),Parámetros!$B$13,Parámetros!$B$14),0)),"")</f>
        <v/>
      </c>
      <c r="G182" s="33" t="str">
        <f t="shared" ca="1" si="42"/>
        <v/>
      </c>
      <c r="H182" s="33" t="str">
        <f t="shared" ca="1" si="43"/>
        <v/>
      </c>
      <c r="I182" s="33" t="str">
        <f t="shared" ca="1" si="44"/>
        <v/>
      </c>
      <c r="J182" s="23" t="str">
        <f t="shared" ca="1" si="45"/>
        <v/>
      </c>
      <c r="K182" s="33" t="str">
        <f t="shared" ca="1" si="46"/>
        <v/>
      </c>
      <c r="L182" s="33" t="str">
        <f ca="1">IF(B182,MIN(Parámetros!$B$5-D182,-Parámetros!$B$12*LN(1-RAND())),"")</f>
        <v/>
      </c>
      <c r="M182" s="33" t="str">
        <f t="shared" ca="1" si="47"/>
        <v/>
      </c>
      <c r="N182" s="22" t="str">
        <f t="shared" ca="1" si="39"/>
        <v>-</v>
      </c>
      <c r="O182" s="22" t="str">
        <f ca="1">IF(E182="INTERVENCIÓN",IF(N182&gt;=Parámetros!$B$7,"SÍ","NO"),"-")</f>
        <v>-</v>
      </c>
      <c r="P182" s="23" t="str">
        <f ca="1">IF(E182="INTERVENCIÓN",IF(N182&gt;=Parámetros!$B$7,CHOOSE(RANDBETWEEN(1,2),"APROBADO","NO APROBADO"),"NO APROBADA - Sin quórum"),"-")</f>
        <v>-</v>
      </c>
    </row>
    <row r="183" spans="1:16" x14ac:dyDescent="0.45">
      <c r="A183" s="23" t="str">
        <f t="shared" ca="1" si="40"/>
        <v/>
      </c>
      <c r="B183" s="23">
        <f ca="1">IF(AND(ISNUMBER(D182),D182&lt;Parámetros!$B$5,ISNUMBER(K182),K182&lt;Parámetros!$B$5,A182&lt;MIN(Parámetros!$B$4,Parámetros!$B$10)),1,0)</f>
        <v>0</v>
      </c>
      <c r="C183" s="33" t="str">
        <f ca="1">IF(B183,-Parámetros!$B$11*LN(1-RAND()),"")</f>
        <v/>
      </c>
      <c r="D183" s="33" t="str">
        <f ca="1">IF(B183,MIN(D182+C183,Parámetros!$B$5),"")</f>
        <v/>
      </c>
      <c r="E183" s="23" t="str">
        <f t="shared" ca="1" si="41"/>
        <v/>
      </c>
      <c r="F183" s="33" t="str">
        <f ca="1">IF(B183,ABS(IF(E183="INTERVENCIÓN",NORMINV(RAND(),Parámetros!$B$13,Parámetros!$B$14),0)),"")</f>
        <v/>
      </c>
      <c r="G183" s="33" t="str">
        <f t="shared" ca="1" si="42"/>
        <v/>
      </c>
      <c r="H183" s="33" t="str">
        <f t="shared" ca="1" si="43"/>
        <v/>
      </c>
      <c r="I183" s="33" t="str">
        <f t="shared" ca="1" si="44"/>
        <v/>
      </c>
      <c r="J183" s="23" t="str">
        <f t="shared" ca="1" si="45"/>
        <v/>
      </c>
      <c r="K183" s="33" t="str">
        <f t="shared" ca="1" si="46"/>
        <v/>
      </c>
      <c r="L183" s="33" t="str">
        <f ca="1">IF(B183,MIN(Parámetros!$B$5-D183,-Parámetros!$B$12*LN(1-RAND())),"")</f>
        <v/>
      </c>
      <c r="M183" s="33" t="str">
        <f t="shared" ca="1" si="47"/>
        <v/>
      </c>
      <c r="N183" s="22" t="str">
        <f t="shared" ca="1" si="39"/>
        <v>-</v>
      </c>
      <c r="O183" s="22" t="str">
        <f ca="1">IF(E183="INTERVENCIÓN",IF(N183&gt;=Parámetros!$B$7,"SÍ","NO"),"-")</f>
        <v>-</v>
      </c>
      <c r="P183" s="23" t="str">
        <f ca="1">IF(E183="INTERVENCIÓN",IF(N183&gt;=Parámetros!$B$7,CHOOSE(RANDBETWEEN(1,2),"APROBADO","NO APROBADO"),"NO APROBADA - Sin quórum"),"-")</f>
        <v>-</v>
      </c>
    </row>
    <row r="184" spans="1:16" x14ac:dyDescent="0.45">
      <c r="A184" s="23" t="str">
        <f t="shared" ca="1" si="40"/>
        <v/>
      </c>
      <c r="B184" s="23">
        <f ca="1">IF(AND(ISNUMBER(D183),D183&lt;Parámetros!$B$5,ISNUMBER(K183),K183&lt;Parámetros!$B$5,A183&lt;MIN(Parámetros!$B$4,Parámetros!$B$10)),1,0)</f>
        <v>0</v>
      </c>
      <c r="C184" s="33" t="str">
        <f ca="1">IF(B184,-Parámetros!$B$11*LN(1-RAND()),"")</f>
        <v/>
      </c>
      <c r="D184" s="33" t="str">
        <f ca="1">IF(B184,MIN(D183+C184,Parámetros!$B$5),"")</f>
        <v/>
      </c>
      <c r="E184" s="23" t="str">
        <f t="shared" ca="1" si="41"/>
        <v/>
      </c>
      <c r="F184" s="33" t="str">
        <f ca="1">IF(B184,ABS(IF(E184="INTERVENCIÓN",NORMINV(RAND(),Parámetros!$B$13,Parámetros!$B$14),0)),"")</f>
        <v/>
      </c>
      <c r="G184" s="33" t="str">
        <f t="shared" ca="1" si="42"/>
        <v/>
      </c>
      <c r="H184" s="33" t="str">
        <f t="shared" ca="1" si="43"/>
        <v/>
      </c>
      <c r="I184" s="33" t="str">
        <f t="shared" ca="1" si="44"/>
        <v/>
      </c>
      <c r="J184" s="23" t="str">
        <f t="shared" ca="1" si="45"/>
        <v/>
      </c>
      <c r="K184" s="33" t="str">
        <f t="shared" ca="1" si="46"/>
        <v/>
      </c>
      <c r="L184" s="33" t="str">
        <f ca="1">IF(B184,MIN(Parámetros!$B$5-D184,-Parámetros!$B$12*LN(1-RAND())),"")</f>
        <v/>
      </c>
      <c r="M184" s="33" t="str">
        <f t="shared" ca="1" si="47"/>
        <v/>
      </c>
      <c r="N184" s="22" t="str">
        <f t="shared" ca="1" si="39"/>
        <v>-</v>
      </c>
      <c r="O184" s="22" t="str">
        <f ca="1">IF(E184="INTERVENCIÓN",IF(N184&gt;=Parámetros!$B$7,"SÍ","NO"),"-")</f>
        <v>-</v>
      </c>
      <c r="P184" s="23" t="str">
        <f ca="1">IF(E184="INTERVENCIÓN",IF(N184&gt;=Parámetros!$B$7,CHOOSE(RANDBETWEEN(1,2),"APROBADO","NO APROBADO"),"NO APROBADA - Sin quórum"),"-")</f>
        <v>-</v>
      </c>
    </row>
    <row r="185" spans="1:16" x14ac:dyDescent="0.45">
      <c r="A185" s="23" t="str">
        <f t="shared" ca="1" si="40"/>
        <v/>
      </c>
      <c r="B185" s="23">
        <f ca="1">IF(AND(ISNUMBER(D184),D184&lt;Parámetros!$B$5,ISNUMBER(K184),K184&lt;Parámetros!$B$5,A184&lt;MIN(Parámetros!$B$4,Parámetros!$B$10)),1,0)</f>
        <v>0</v>
      </c>
      <c r="C185" s="33" t="str">
        <f ca="1">IF(B185,-Parámetros!$B$11*LN(1-RAND()),"")</f>
        <v/>
      </c>
      <c r="D185" s="33" t="str">
        <f ca="1">IF(B185,MIN(D184+C185,Parámetros!$B$5),"")</f>
        <v/>
      </c>
      <c r="E185" s="23" t="str">
        <f t="shared" ca="1" si="41"/>
        <v/>
      </c>
      <c r="F185" s="33" t="str">
        <f ca="1">IF(B185,ABS(IF(E185="INTERVENCIÓN",NORMINV(RAND(),Parámetros!$B$13,Parámetros!$B$14),0)),"")</f>
        <v/>
      </c>
      <c r="G185" s="33" t="str">
        <f t="shared" ca="1" si="42"/>
        <v/>
      </c>
      <c r="H185" s="33" t="str">
        <f t="shared" ca="1" si="43"/>
        <v/>
      </c>
      <c r="I185" s="33" t="str">
        <f t="shared" ca="1" si="44"/>
        <v/>
      </c>
      <c r="J185" s="23" t="str">
        <f t="shared" ca="1" si="45"/>
        <v/>
      </c>
      <c r="K185" s="33" t="str">
        <f t="shared" ca="1" si="46"/>
        <v/>
      </c>
      <c r="L185" s="33" t="str">
        <f ca="1">IF(B185,MIN(Parámetros!$B$5-D185,-Parámetros!$B$12*LN(1-RAND())),"")</f>
        <v/>
      </c>
      <c r="M185" s="33" t="str">
        <f t="shared" ca="1" si="47"/>
        <v/>
      </c>
      <c r="N185" s="22" t="str">
        <f t="shared" ca="1" si="39"/>
        <v>-</v>
      </c>
      <c r="O185" s="22" t="str">
        <f ca="1">IF(E185="INTERVENCIÓN",IF(N185&gt;=Parámetros!$B$7,"SÍ","NO"),"-")</f>
        <v>-</v>
      </c>
      <c r="P185" s="23" t="str">
        <f ca="1">IF(E185="INTERVENCIÓN",IF(N185&gt;=Parámetros!$B$7,CHOOSE(RANDBETWEEN(1,2),"APROBADO","NO APROBADO"),"NO APROBADA - Sin quórum"),"-")</f>
        <v>-</v>
      </c>
    </row>
    <row r="186" spans="1:16" x14ac:dyDescent="0.45">
      <c r="A186" s="23" t="str">
        <f t="shared" ca="1" si="40"/>
        <v/>
      </c>
      <c r="B186" s="23">
        <f ca="1">IF(AND(ISNUMBER(D185),D185&lt;Parámetros!$B$5,ISNUMBER(K185),K185&lt;Parámetros!$B$5,A185&lt;MIN(Parámetros!$B$4,Parámetros!$B$10)),1,0)</f>
        <v>0</v>
      </c>
      <c r="C186" s="33" t="str">
        <f ca="1">IF(B186,-Parámetros!$B$11*LN(1-RAND()),"")</f>
        <v/>
      </c>
      <c r="D186" s="33" t="str">
        <f ca="1">IF(B186,MIN(D185+C186,Parámetros!$B$5),"")</f>
        <v/>
      </c>
      <c r="E186" s="23" t="str">
        <f t="shared" ca="1" si="41"/>
        <v/>
      </c>
      <c r="F186" s="33" t="str">
        <f ca="1">IF(B186,ABS(IF(E186="INTERVENCIÓN",NORMINV(RAND(),Parámetros!$B$13,Parámetros!$B$14),0)),"")</f>
        <v/>
      </c>
      <c r="G186" s="33" t="str">
        <f t="shared" ca="1" si="42"/>
        <v/>
      </c>
      <c r="H186" s="33" t="str">
        <f t="shared" ca="1" si="43"/>
        <v/>
      </c>
      <c r="I186" s="33" t="str">
        <f t="shared" ca="1" si="44"/>
        <v/>
      </c>
      <c r="J186" s="23" t="str">
        <f t="shared" ca="1" si="45"/>
        <v/>
      </c>
      <c r="K186" s="33" t="str">
        <f t="shared" ca="1" si="46"/>
        <v/>
      </c>
      <c r="L186" s="33" t="str">
        <f ca="1">IF(B186,MIN(Parámetros!$B$5-D186,-Parámetros!$B$12*LN(1-RAND())),"")</f>
        <v/>
      </c>
      <c r="M186" s="33" t="str">
        <f t="shared" ca="1" si="47"/>
        <v/>
      </c>
      <c r="N186" s="22" t="str">
        <f t="shared" ca="1" si="39"/>
        <v>-</v>
      </c>
      <c r="O186" s="22" t="str">
        <f ca="1">IF(E186="INTERVENCIÓN",IF(N186&gt;=Parámetros!$B$7,"SÍ","NO"),"-")</f>
        <v>-</v>
      </c>
      <c r="P186" s="23" t="str">
        <f ca="1">IF(E186="INTERVENCIÓN",IF(N186&gt;=Parámetros!$B$7,CHOOSE(RANDBETWEEN(1,2),"APROBADO","NO APROBADO"),"NO APROBADA - Sin quórum"),"-")</f>
        <v>-</v>
      </c>
    </row>
    <row r="187" spans="1:16" x14ac:dyDescent="0.45">
      <c r="A187" s="23" t="str">
        <f t="shared" ca="1" si="40"/>
        <v/>
      </c>
      <c r="B187" s="23">
        <f ca="1">IF(AND(ISNUMBER(D186),D186&lt;Parámetros!$B$5,ISNUMBER(K186),K186&lt;Parámetros!$B$5,A186&lt;MIN(Parámetros!$B$4,Parámetros!$B$10)),1,0)</f>
        <v>0</v>
      </c>
      <c r="C187" s="33" t="str">
        <f ca="1">IF(B187,-Parámetros!$B$11*LN(1-RAND()),"")</f>
        <v/>
      </c>
      <c r="D187" s="33" t="str">
        <f ca="1">IF(B187,MIN(D186+C187,Parámetros!$B$5),"")</f>
        <v/>
      </c>
      <c r="E187" s="23" t="str">
        <f t="shared" ca="1" si="41"/>
        <v/>
      </c>
      <c r="F187" s="33" t="str">
        <f ca="1">IF(B187,ABS(IF(E187="INTERVENCIÓN",NORMINV(RAND(),Parámetros!$B$13,Parámetros!$B$14),0)),"")</f>
        <v/>
      </c>
      <c r="G187" s="33" t="str">
        <f t="shared" ca="1" si="42"/>
        <v/>
      </c>
      <c r="H187" s="33" t="str">
        <f t="shared" ca="1" si="43"/>
        <v/>
      </c>
      <c r="I187" s="33" t="str">
        <f t="shared" ca="1" si="44"/>
        <v/>
      </c>
      <c r="J187" s="23" t="str">
        <f t="shared" ca="1" si="45"/>
        <v/>
      </c>
      <c r="K187" s="33" t="str">
        <f t="shared" ca="1" si="46"/>
        <v/>
      </c>
      <c r="L187" s="33" t="str">
        <f ca="1">IF(B187,MIN(Parámetros!$B$5-D187,-Parámetros!$B$12*LN(1-RAND())),"")</f>
        <v/>
      </c>
      <c r="M187" s="33" t="str">
        <f t="shared" ca="1" si="47"/>
        <v/>
      </c>
      <c r="N187" s="22" t="str">
        <f t="shared" ca="1" si="39"/>
        <v>-</v>
      </c>
      <c r="O187" s="22" t="str">
        <f ca="1">IF(E187="INTERVENCIÓN",IF(N187&gt;=Parámetros!$B$7,"SÍ","NO"),"-")</f>
        <v>-</v>
      </c>
      <c r="P187" s="23" t="str">
        <f ca="1">IF(E187="INTERVENCIÓN",IF(N187&gt;=Parámetros!$B$7,CHOOSE(RANDBETWEEN(1,2),"APROBADO","NO APROBADO"),"NO APROBADA - Sin quórum"),"-")</f>
        <v>-</v>
      </c>
    </row>
    <row r="188" spans="1:16" x14ac:dyDescent="0.45">
      <c r="A188" s="23" t="str">
        <f t="shared" ca="1" si="40"/>
        <v/>
      </c>
      <c r="B188" s="23">
        <f ca="1">IF(AND(ISNUMBER(D187),D187&lt;Parámetros!$B$5,ISNUMBER(K187),K187&lt;Parámetros!$B$5,A187&lt;MIN(Parámetros!$B$4,Parámetros!$B$10)),1,0)</f>
        <v>0</v>
      </c>
      <c r="C188" s="33" t="str">
        <f ca="1">IF(B188,-Parámetros!$B$11*LN(1-RAND()),"")</f>
        <v/>
      </c>
      <c r="D188" s="33" t="str">
        <f ca="1">IF(B188,MIN(D187+C188,Parámetros!$B$5),"")</f>
        <v/>
      </c>
      <c r="E188" s="23" t="str">
        <f t="shared" ca="1" si="41"/>
        <v/>
      </c>
      <c r="F188" s="33" t="str">
        <f ca="1">IF(B188,ABS(IF(E188="INTERVENCIÓN",NORMINV(RAND(),Parámetros!$B$13,Parámetros!$B$14),0)),"")</f>
        <v/>
      </c>
      <c r="G188" s="33" t="str">
        <f t="shared" ca="1" si="42"/>
        <v/>
      </c>
      <c r="H188" s="33" t="str">
        <f t="shared" ca="1" si="43"/>
        <v/>
      </c>
      <c r="I188" s="33" t="str">
        <f t="shared" ca="1" si="44"/>
        <v/>
      </c>
      <c r="J188" s="23" t="str">
        <f t="shared" ca="1" si="45"/>
        <v/>
      </c>
      <c r="K188" s="33" t="str">
        <f t="shared" ca="1" si="46"/>
        <v/>
      </c>
      <c r="L188" s="33" t="str">
        <f ca="1">IF(B188,MIN(Parámetros!$B$5-D188,-Parámetros!$B$12*LN(1-RAND())),"")</f>
        <v/>
      </c>
      <c r="M188" s="33" t="str">
        <f t="shared" ca="1" si="47"/>
        <v/>
      </c>
      <c r="N188" s="22" t="str">
        <f t="shared" ca="1" si="39"/>
        <v>-</v>
      </c>
      <c r="O188" s="22" t="str">
        <f ca="1">IF(E188="INTERVENCIÓN",IF(N188&gt;=Parámetros!$B$7,"SÍ","NO"),"-")</f>
        <v>-</v>
      </c>
      <c r="P188" s="23" t="str">
        <f ca="1">IF(E188="INTERVENCIÓN",IF(N188&gt;=Parámetros!$B$7,CHOOSE(RANDBETWEEN(1,2),"APROBADO","NO APROBADO"),"NO APROBADA - Sin quórum"),"-")</f>
        <v>-</v>
      </c>
    </row>
    <row r="189" spans="1:16" x14ac:dyDescent="0.45">
      <c r="A189" s="23" t="str">
        <f t="shared" ca="1" si="40"/>
        <v/>
      </c>
      <c r="B189" s="23">
        <f ca="1">IF(AND(ISNUMBER(D188),D188&lt;Parámetros!$B$5,ISNUMBER(K188),K188&lt;Parámetros!$B$5,A188&lt;MIN(Parámetros!$B$4,Parámetros!$B$10)),1,0)</f>
        <v>0</v>
      </c>
      <c r="C189" s="33" t="str">
        <f ca="1">IF(B189,-Parámetros!$B$11*LN(1-RAND()),"")</f>
        <v/>
      </c>
      <c r="D189" s="33" t="str">
        <f ca="1">IF(B189,MIN(D188+C189,Parámetros!$B$5),"")</f>
        <v/>
      </c>
      <c r="E189" s="23" t="str">
        <f t="shared" ca="1" si="41"/>
        <v/>
      </c>
      <c r="F189" s="33" t="str">
        <f ca="1">IF(B189,ABS(IF(E189="INTERVENCIÓN",NORMINV(RAND(),Parámetros!$B$13,Parámetros!$B$14),0)),"")</f>
        <v/>
      </c>
      <c r="G189" s="33" t="str">
        <f t="shared" ca="1" si="42"/>
        <v/>
      </c>
      <c r="H189" s="33" t="str">
        <f t="shared" ca="1" si="43"/>
        <v/>
      </c>
      <c r="I189" s="33" t="str">
        <f t="shared" ca="1" si="44"/>
        <v/>
      </c>
      <c r="J189" s="23" t="str">
        <f t="shared" ca="1" si="45"/>
        <v/>
      </c>
      <c r="K189" s="33" t="str">
        <f t="shared" ca="1" si="46"/>
        <v/>
      </c>
      <c r="L189" s="33" t="str">
        <f ca="1">IF(B189,MIN(Parámetros!$B$5-D189,-Parámetros!$B$12*LN(1-RAND())),"")</f>
        <v/>
      </c>
      <c r="M189" s="33" t="str">
        <f t="shared" ca="1" si="47"/>
        <v/>
      </c>
      <c r="N189" s="22" t="str">
        <f t="shared" ca="1" si="39"/>
        <v>-</v>
      </c>
      <c r="O189" s="22" t="str">
        <f ca="1">IF(E189="INTERVENCIÓN",IF(N189&gt;=Parámetros!$B$7,"SÍ","NO"),"-")</f>
        <v>-</v>
      </c>
      <c r="P189" s="23" t="str">
        <f ca="1">IF(E189="INTERVENCIÓN",IF(N189&gt;=Parámetros!$B$7,CHOOSE(RANDBETWEEN(1,2),"APROBADO","NO APROBADO"),"NO APROBADA - Sin quórum"),"-")</f>
        <v>-</v>
      </c>
    </row>
    <row r="190" spans="1:16" x14ac:dyDescent="0.45">
      <c r="A190" s="23" t="str">
        <f t="shared" ca="1" si="40"/>
        <v/>
      </c>
      <c r="B190" s="23">
        <f ca="1">IF(AND(ISNUMBER(D189),D189&lt;Parámetros!$B$5,ISNUMBER(K189),K189&lt;Parámetros!$B$5,A189&lt;MIN(Parámetros!$B$4,Parámetros!$B$10)),1,0)</f>
        <v>0</v>
      </c>
      <c r="C190" s="33" t="str">
        <f ca="1">IF(B190,-Parámetros!$B$11*LN(1-RAND()),"")</f>
        <v/>
      </c>
      <c r="D190" s="33" t="str">
        <f ca="1">IF(B190,MIN(D189+C190,Parámetros!$B$5),"")</f>
        <v/>
      </c>
      <c r="E190" s="23" t="str">
        <f t="shared" ca="1" si="41"/>
        <v/>
      </c>
      <c r="F190" s="33" t="str">
        <f ca="1">IF(B190,ABS(IF(E190="INTERVENCIÓN",NORMINV(RAND(),Parámetros!$B$13,Parámetros!$B$14),0)),"")</f>
        <v/>
      </c>
      <c r="G190" s="33" t="str">
        <f t="shared" ca="1" si="42"/>
        <v/>
      </c>
      <c r="H190" s="33" t="str">
        <f t="shared" ca="1" si="43"/>
        <v/>
      </c>
      <c r="I190" s="33" t="str">
        <f t="shared" ca="1" si="44"/>
        <v/>
      </c>
      <c r="J190" s="23" t="str">
        <f t="shared" ca="1" si="45"/>
        <v/>
      </c>
      <c r="K190" s="33" t="str">
        <f t="shared" ca="1" si="46"/>
        <v/>
      </c>
      <c r="L190" s="33" t="str">
        <f ca="1">IF(B190,MIN(Parámetros!$B$5-D190,-Parámetros!$B$12*LN(1-RAND())),"")</f>
        <v/>
      </c>
      <c r="M190" s="33" t="str">
        <f t="shared" ca="1" si="47"/>
        <v/>
      </c>
      <c r="N190" s="22" t="str">
        <f t="shared" ca="1" si="39"/>
        <v>-</v>
      </c>
      <c r="O190" s="22" t="str">
        <f ca="1">IF(E190="INTERVENCIÓN",IF(N190&gt;=Parámetros!$B$7,"SÍ","NO"),"-")</f>
        <v>-</v>
      </c>
      <c r="P190" s="23" t="str">
        <f ca="1">IF(E190="INTERVENCIÓN",IF(N190&gt;=Parámetros!$B$7,CHOOSE(RANDBETWEEN(1,2),"APROBADO","NO APROBADO"),"NO APROBADA - Sin quórum"),"-")</f>
        <v>-</v>
      </c>
    </row>
    <row r="191" spans="1:16" x14ac:dyDescent="0.45">
      <c r="A191" s="23" t="str">
        <f t="shared" ca="1" si="40"/>
        <v/>
      </c>
      <c r="B191" s="23">
        <f ca="1">IF(AND(ISNUMBER(D190),D190&lt;Parámetros!$B$5,ISNUMBER(K190),K190&lt;Parámetros!$B$5,A190&lt;MIN(Parámetros!$B$4,Parámetros!$B$10)),1,0)</f>
        <v>0</v>
      </c>
      <c r="C191" s="33" t="str">
        <f ca="1">IF(B191,-Parámetros!$B$11*LN(1-RAND()),"")</f>
        <v/>
      </c>
      <c r="D191" s="33" t="str">
        <f ca="1">IF(B191,MIN(D190+C191,Parámetros!$B$5),"")</f>
        <v/>
      </c>
      <c r="E191" s="23" t="str">
        <f t="shared" ca="1" si="41"/>
        <v/>
      </c>
      <c r="F191" s="33" t="str">
        <f ca="1">IF(B191,ABS(IF(E191="INTERVENCIÓN",NORMINV(RAND(),Parámetros!$B$13,Parámetros!$B$14),0)),"")</f>
        <v/>
      </c>
      <c r="G191" s="33" t="str">
        <f t="shared" ca="1" si="42"/>
        <v/>
      </c>
      <c r="H191" s="33" t="str">
        <f t="shared" ca="1" si="43"/>
        <v/>
      </c>
      <c r="I191" s="33" t="str">
        <f t="shared" ca="1" si="44"/>
        <v/>
      </c>
      <c r="J191" s="23" t="str">
        <f t="shared" ca="1" si="45"/>
        <v/>
      </c>
      <c r="K191" s="33" t="str">
        <f t="shared" ca="1" si="46"/>
        <v/>
      </c>
      <c r="L191" s="33" t="str">
        <f ca="1">IF(B191,MIN(Parámetros!$B$5-D191,-Parámetros!$B$12*LN(1-RAND())),"")</f>
        <v/>
      </c>
      <c r="M191" s="33" t="str">
        <f t="shared" ca="1" si="47"/>
        <v/>
      </c>
      <c r="N191" s="22" t="str">
        <f t="shared" ca="1" si="39"/>
        <v>-</v>
      </c>
      <c r="O191" s="22" t="str">
        <f ca="1">IF(E191="INTERVENCIÓN",IF(N191&gt;=Parámetros!$B$7,"SÍ","NO"),"-")</f>
        <v>-</v>
      </c>
      <c r="P191" s="23" t="str">
        <f ca="1">IF(E191="INTERVENCIÓN",IF(N191&gt;=Parámetros!$B$7,CHOOSE(RANDBETWEEN(1,2),"APROBADO","NO APROBADO"),"NO APROBADA - Sin quórum"),"-")</f>
        <v>-</v>
      </c>
    </row>
    <row r="192" spans="1:16" x14ac:dyDescent="0.45">
      <c r="A192" s="23" t="str">
        <f t="shared" ca="1" si="40"/>
        <v/>
      </c>
      <c r="B192" s="23">
        <f ca="1">IF(AND(ISNUMBER(D191),D191&lt;Parámetros!$B$5,ISNUMBER(K191),K191&lt;Parámetros!$B$5,A191&lt;MIN(Parámetros!$B$4,Parámetros!$B$10)),1,0)</f>
        <v>0</v>
      </c>
      <c r="C192" s="33" t="str">
        <f ca="1">IF(B192,-Parámetros!$B$11*LN(1-RAND()),"")</f>
        <v/>
      </c>
      <c r="D192" s="33" t="str">
        <f ca="1">IF(B192,MIN(D191+C192,Parámetros!$B$5),"")</f>
        <v/>
      </c>
      <c r="E192" s="23" t="str">
        <f t="shared" ca="1" si="41"/>
        <v/>
      </c>
      <c r="F192" s="33" t="str">
        <f ca="1">IF(B192,ABS(IF(E192="INTERVENCIÓN",NORMINV(RAND(),Parámetros!$B$13,Parámetros!$B$14),0)),"")</f>
        <v/>
      </c>
      <c r="G192" s="33" t="str">
        <f t="shared" ca="1" si="42"/>
        <v/>
      </c>
      <c r="H192" s="33" t="str">
        <f t="shared" ca="1" si="43"/>
        <v/>
      </c>
      <c r="I192" s="33" t="str">
        <f t="shared" ca="1" si="44"/>
        <v/>
      </c>
      <c r="J192" s="23" t="str">
        <f t="shared" ca="1" si="45"/>
        <v/>
      </c>
      <c r="K192" s="33" t="str">
        <f t="shared" ca="1" si="46"/>
        <v/>
      </c>
      <c r="L192" s="33" t="str">
        <f ca="1">IF(B192,MIN(Parámetros!$B$5-D192,-Parámetros!$B$12*LN(1-RAND())),"")</f>
        <v/>
      </c>
      <c r="M192" s="33" t="str">
        <f t="shared" ca="1" si="47"/>
        <v/>
      </c>
      <c r="N192" s="22" t="str">
        <f t="shared" ca="1" si="39"/>
        <v>-</v>
      </c>
      <c r="O192" s="22" t="str">
        <f ca="1">IF(E192="INTERVENCIÓN",IF(N192&gt;=Parámetros!$B$7,"SÍ","NO"),"-")</f>
        <v>-</v>
      </c>
      <c r="P192" s="23" t="str">
        <f ca="1">IF(E192="INTERVENCIÓN",IF(N192&gt;=Parámetros!$B$7,CHOOSE(RANDBETWEEN(1,2),"APROBADO","NO APROBADO"),"NO APROBADA - Sin quórum"),"-")</f>
        <v>-</v>
      </c>
    </row>
    <row r="193" spans="1:16" x14ac:dyDescent="0.45">
      <c r="A193" s="23" t="str">
        <f t="shared" ca="1" si="40"/>
        <v/>
      </c>
      <c r="B193" s="23">
        <f ca="1">IF(AND(ISNUMBER(D192),D192&lt;Parámetros!$B$5,ISNUMBER(K192),K192&lt;Parámetros!$B$5,A192&lt;MIN(Parámetros!$B$4,Parámetros!$B$10)),1,0)</f>
        <v>0</v>
      </c>
      <c r="C193" s="33" t="str">
        <f ca="1">IF(B193,-Parámetros!$B$11*LN(1-RAND()),"")</f>
        <v/>
      </c>
      <c r="D193" s="33" t="str">
        <f ca="1">IF(B193,MIN(D192+C193,Parámetros!$B$5),"")</f>
        <v/>
      </c>
      <c r="E193" s="23" t="str">
        <f t="shared" ca="1" si="41"/>
        <v/>
      </c>
      <c r="F193" s="33" t="str">
        <f ca="1">IF(B193,ABS(IF(E193="INTERVENCIÓN",NORMINV(RAND(),Parámetros!$B$13,Parámetros!$B$14),0)),"")</f>
        <v/>
      </c>
      <c r="G193" s="33" t="str">
        <f t="shared" ca="1" si="42"/>
        <v/>
      </c>
      <c r="H193" s="33" t="str">
        <f t="shared" ca="1" si="43"/>
        <v/>
      </c>
      <c r="I193" s="33" t="str">
        <f t="shared" ca="1" si="44"/>
        <v/>
      </c>
      <c r="J193" s="23" t="str">
        <f t="shared" ca="1" si="45"/>
        <v/>
      </c>
      <c r="K193" s="33" t="str">
        <f t="shared" ca="1" si="46"/>
        <v/>
      </c>
      <c r="L193" s="33" t="str">
        <f ca="1">IF(B193,MIN(Parámetros!$B$5-D193,-Parámetros!$B$12*LN(1-RAND())),"")</f>
        <v/>
      </c>
      <c r="M193" s="33" t="str">
        <f t="shared" ca="1" si="47"/>
        <v/>
      </c>
      <c r="N193" s="22" t="str">
        <f t="shared" ca="1" si="39"/>
        <v>-</v>
      </c>
      <c r="O193" s="22" t="str">
        <f ca="1">IF(E193="INTERVENCIÓN",IF(N193&gt;=Parámetros!$B$7,"SÍ","NO"),"-")</f>
        <v>-</v>
      </c>
      <c r="P193" s="23" t="str">
        <f ca="1">IF(E193="INTERVENCIÓN",IF(N193&gt;=Parámetros!$B$7,CHOOSE(RANDBETWEEN(1,2),"APROBADO","NO APROBADO"),"NO APROBADA - Sin quórum"),"-")</f>
        <v>-</v>
      </c>
    </row>
    <row r="194" spans="1:16" x14ac:dyDescent="0.45">
      <c r="A194" s="23" t="str">
        <f t="shared" ca="1" si="40"/>
        <v/>
      </c>
      <c r="B194" s="23">
        <f ca="1">IF(AND(ISNUMBER(D193),D193&lt;Parámetros!$B$5,ISNUMBER(K193),K193&lt;Parámetros!$B$5,A193&lt;MIN(Parámetros!$B$4,Parámetros!$B$10)),1,0)</f>
        <v>0</v>
      </c>
      <c r="C194" s="33" t="str">
        <f ca="1">IF(B194,-Parámetros!$B$11*LN(1-RAND()),"")</f>
        <v/>
      </c>
      <c r="D194" s="33" t="str">
        <f ca="1">IF(B194,MIN(D193+C194,Parámetros!$B$5),"")</f>
        <v/>
      </c>
      <c r="E194" s="23" t="str">
        <f t="shared" ca="1" si="41"/>
        <v/>
      </c>
      <c r="F194" s="33" t="str">
        <f ca="1">IF(B194,ABS(IF(E194="INTERVENCIÓN",NORMINV(RAND(),Parámetros!$B$13,Parámetros!$B$14),0)),"")</f>
        <v/>
      </c>
      <c r="G194" s="33" t="str">
        <f t="shared" ca="1" si="42"/>
        <v/>
      </c>
      <c r="H194" s="33" t="str">
        <f t="shared" ca="1" si="43"/>
        <v/>
      </c>
      <c r="I194" s="33" t="str">
        <f t="shared" ca="1" si="44"/>
        <v/>
      </c>
      <c r="J194" s="23" t="str">
        <f t="shared" ca="1" si="45"/>
        <v/>
      </c>
      <c r="K194" s="33" t="str">
        <f t="shared" ca="1" si="46"/>
        <v/>
      </c>
      <c r="L194" s="33" t="str">
        <f ca="1">IF(B194,MIN(Parámetros!$B$5-D194,-Parámetros!$B$12*LN(1-RAND())),"")</f>
        <v/>
      </c>
      <c r="M194" s="33" t="str">
        <f t="shared" ca="1" si="47"/>
        <v/>
      </c>
      <c r="N194" s="22" t="str">
        <f t="shared" ca="1" si="39"/>
        <v>-</v>
      </c>
      <c r="O194" s="22" t="str">
        <f ca="1">IF(E194="INTERVENCIÓN",IF(N194&gt;=Parámetros!$B$7,"SÍ","NO"),"-")</f>
        <v>-</v>
      </c>
      <c r="P194" s="23" t="str">
        <f ca="1">IF(E194="INTERVENCIÓN",IF(N194&gt;=Parámetros!$B$7,CHOOSE(RANDBETWEEN(1,2),"APROBADO","NO APROBADO"),"NO APROBADA - Sin quórum"),"-")</f>
        <v>-</v>
      </c>
    </row>
    <row r="195" spans="1:16" x14ac:dyDescent="0.45">
      <c r="A195" s="23" t="str">
        <f t="shared" ca="1" si="40"/>
        <v/>
      </c>
      <c r="B195" s="23">
        <f ca="1">IF(AND(ISNUMBER(D194),D194&lt;Parámetros!$B$5,ISNUMBER(K194),K194&lt;Parámetros!$B$5,A194&lt;MIN(Parámetros!$B$4,Parámetros!$B$10)),1,0)</f>
        <v>0</v>
      </c>
      <c r="C195" s="33" t="str">
        <f ca="1">IF(B195,-Parámetros!$B$11*LN(1-RAND()),"")</f>
        <v/>
      </c>
      <c r="D195" s="33" t="str">
        <f ca="1">IF(B195,MIN(D194+C195,Parámetros!$B$5),"")</f>
        <v/>
      </c>
      <c r="E195" s="23" t="str">
        <f t="shared" ca="1" si="41"/>
        <v/>
      </c>
      <c r="F195" s="33" t="str">
        <f ca="1">IF(B195,ABS(IF(E195="INTERVENCIÓN",NORMINV(RAND(),Parámetros!$B$13,Parámetros!$B$14),0)),"")</f>
        <v/>
      </c>
      <c r="G195" s="33" t="str">
        <f t="shared" ca="1" si="42"/>
        <v/>
      </c>
      <c r="H195" s="33" t="str">
        <f t="shared" ca="1" si="43"/>
        <v/>
      </c>
      <c r="I195" s="33" t="str">
        <f t="shared" ca="1" si="44"/>
        <v/>
      </c>
      <c r="J195" s="23" t="str">
        <f t="shared" ca="1" si="45"/>
        <v/>
      </c>
      <c r="K195" s="33" t="str">
        <f t="shared" ca="1" si="46"/>
        <v/>
      </c>
      <c r="L195" s="33" t="str">
        <f ca="1">IF(B195,MIN(Parámetros!$B$5-D195,-Parámetros!$B$12*LN(1-RAND())),"")</f>
        <v/>
      </c>
      <c r="M195" s="33" t="str">
        <f t="shared" ca="1" si="47"/>
        <v/>
      </c>
      <c r="N195" s="22" t="str">
        <f t="shared" ca="1" si="39"/>
        <v>-</v>
      </c>
      <c r="O195" s="22" t="str">
        <f ca="1">IF(E195="INTERVENCIÓN",IF(N195&gt;=Parámetros!$B$7,"SÍ","NO"),"-")</f>
        <v>-</v>
      </c>
      <c r="P195" s="23" t="str">
        <f ca="1">IF(E195="INTERVENCIÓN",IF(N195&gt;=Parámetros!$B$7,CHOOSE(RANDBETWEEN(1,2),"APROBADO","NO APROBADO"),"NO APROBADA - Sin quórum"),"-")</f>
        <v>-</v>
      </c>
    </row>
    <row r="196" spans="1:16" x14ac:dyDescent="0.45">
      <c r="A196" s="23" t="str">
        <f t="shared" ca="1" si="40"/>
        <v/>
      </c>
      <c r="B196" s="23">
        <f ca="1">IF(AND(ISNUMBER(D195),D195&lt;Parámetros!$B$5,ISNUMBER(K195),K195&lt;Parámetros!$B$5,A195&lt;MIN(Parámetros!$B$4,Parámetros!$B$10)),1,0)</f>
        <v>0</v>
      </c>
      <c r="C196" s="33" t="str">
        <f ca="1">IF(B196,-Parámetros!$B$11*LN(1-RAND()),"")</f>
        <v/>
      </c>
      <c r="D196" s="33" t="str">
        <f ca="1">IF(B196,MIN(D195+C196,Parámetros!$B$5),"")</f>
        <v/>
      </c>
      <c r="E196" s="23" t="str">
        <f t="shared" ca="1" si="41"/>
        <v/>
      </c>
      <c r="F196" s="33" t="str">
        <f ca="1">IF(B196,ABS(IF(E196="INTERVENCIÓN",NORMINV(RAND(),Parámetros!$B$13,Parámetros!$B$14),0)),"")</f>
        <v/>
      </c>
      <c r="G196" s="33" t="str">
        <f t="shared" ca="1" si="42"/>
        <v/>
      </c>
      <c r="H196" s="33" t="str">
        <f t="shared" ca="1" si="43"/>
        <v/>
      </c>
      <c r="I196" s="33" t="str">
        <f t="shared" ca="1" si="44"/>
        <v/>
      </c>
      <c r="J196" s="23" t="str">
        <f t="shared" ca="1" si="45"/>
        <v/>
      </c>
      <c r="K196" s="33" t="str">
        <f t="shared" ca="1" si="46"/>
        <v/>
      </c>
      <c r="L196" s="33" t="str">
        <f ca="1">IF(B196,MIN(Parámetros!$B$5-D196,-Parámetros!$B$12*LN(1-RAND())),"")</f>
        <v/>
      </c>
      <c r="M196" s="33" t="str">
        <f t="shared" ca="1" si="47"/>
        <v/>
      </c>
      <c r="N196" s="22" t="str">
        <f t="shared" ref="N196:N202" ca="1" si="48">IF(E196="INTERVENCIÓN",COUNTIFS($D$3:$D$102,"&lt;="&amp;D196,$M$3:$M$102,"&gt;="&amp;D196),"-")</f>
        <v>-</v>
      </c>
      <c r="O196" s="22" t="str">
        <f ca="1">IF(E196="INTERVENCIÓN",IF(N196&gt;=Parámetros!$B$7,"SÍ","NO"),"-")</f>
        <v>-</v>
      </c>
      <c r="P196" s="23" t="str">
        <f ca="1">IF(E196="INTERVENCIÓN",IF(N196&gt;=Parámetros!$B$7,CHOOSE(RANDBETWEEN(1,2),"APROBADO","NO APROBADO"),"NO APROBADA - Sin quórum"),"-")</f>
        <v>-</v>
      </c>
    </row>
    <row r="197" spans="1:16" x14ac:dyDescent="0.45">
      <c r="A197" s="23" t="str">
        <f t="shared" ca="1" si="40"/>
        <v/>
      </c>
      <c r="B197" s="23">
        <f ca="1">IF(AND(ISNUMBER(D196),D196&lt;Parámetros!$B$5,ISNUMBER(K196),K196&lt;Parámetros!$B$5,A196&lt;MIN(Parámetros!$B$4,Parámetros!$B$10)),1,0)</f>
        <v>0</v>
      </c>
      <c r="C197" s="33" t="str">
        <f ca="1">IF(B197,-Parámetros!$B$11*LN(1-RAND()),"")</f>
        <v/>
      </c>
      <c r="D197" s="33" t="str">
        <f ca="1">IF(B197,MIN(D196+C197,Parámetros!$B$5),"")</f>
        <v/>
      </c>
      <c r="E197" s="23" t="str">
        <f t="shared" ca="1" si="41"/>
        <v/>
      </c>
      <c r="F197" s="33" t="str">
        <f ca="1">IF(B197,ABS(IF(E197="INTERVENCIÓN",NORMINV(RAND(),Parámetros!$B$13,Parámetros!$B$14),0)),"")</f>
        <v/>
      </c>
      <c r="G197" s="33" t="str">
        <f t="shared" ca="1" si="42"/>
        <v/>
      </c>
      <c r="H197" s="33" t="str">
        <f t="shared" ca="1" si="43"/>
        <v/>
      </c>
      <c r="I197" s="33" t="str">
        <f t="shared" ca="1" si="44"/>
        <v/>
      </c>
      <c r="J197" s="23" t="str">
        <f t="shared" ca="1" si="45"/>
        <v/>
      </c>
      <c r="K197" s="33" t="str">
        <f t="shared" ca="1" si="46"/>
        <v/>
      </c>
      <c r="L197" s="33" t="str">
        <f ca="1">IF(B197,MIN(Parámetros!$B$5-D197,-Parámetros!$B$12*LN(1-RAND())),"")</f>
        <v/>
      </c>
      <c r="M197" s="33" t="str">
        <f t="shared" ca="1" si="47"/>
        <v/>
      </c>
      <c r="N197" s="22" t="str">
        <f t="shared" ca="1" si="48"/>
        <v>-</v>
      </c>
      <c r="O197" s="22" t="str">
        <f ca="1">IF(E197="INTERVENCIÓN",IF(N197&gt;=Parámetros!$B$7,"SÍ","NO"),"-")</f>
        <v>-</v>
      </c>
      <c r="P197" s="23" t="str">
        <f ca="1">IF(E197="INTERVENCIÓN",IF(N197&gt;=Parámetros!$B$7,CHOOSE(RANDBETWEEN(1,2),"APROBADO","NO APROBADO"),"NO APROBADA - Sin quórum"),"-")</f>
        <v>-</v>
      </c>
    </row>
    <row r="198" spans="1:16" x14ac:dyDescent="0.45">
      <c r="A198" s="23" t="str">
        <f t="shared" ca="1" si="40"/>
        <v/>
      </c>
      <c r="B198" s="23">
        <f ca="1">IF(AND(ISNUMBER(D197),D197&lt;Parámetros!$B$5,ISNUMBER(K197),K197&lt;Parámetros!$B$5,A197&lt;MIN(Parámetros!$B$4,Parámetros!$B$10)),1,0)</f>
        <v>0</v>
      </c>
      <c r="C198" s="33" t="str">
        <f ca="1">IF(B198,-Parámetros!$B$11*LN(1-RAND()),"")</f>
        <v/>
      </c>
      <c r="D198" s="33" t="str">
        <f ca="1">IF(B198,MIN(D197+C198,Parámetros!$B$5),"")</f>
        <v/>
      </c>
      <c r="E198" s="23" t="str">
        <f t="shared" ca="1" si="41"/>
        <v/>
      </c>
      <c r="F198" s="33" t="str">
        <f ca="1">IF(B198,ABS(IF(E198="INTERVENCIÓN",NORMINV(RAND(),Parámetros!$B$13,Parámetros!$B$14),0)),"")</f>
        <v/>
      </c>
      <c r="G198" s="33" t="str">
        <f t="shared" ca="1" si="42"/>
        <v/>
      </c>
      <c r="H198" s="33" t="str">
        <f t="shared" ca="1" si="43"/>
        <v/>
      </c>
      <c r="I198" s="33" t="str">
        <f t="shared" ca="1" si="44"/>
        <v/>
      </c>
      <c r="J198" s="23" t="str">
        <f t="shared" ca="1" si="45"/>
        <v/>
      </c>
      <c r="K198" s="33" t="str">
        <f t="shared" ca="1" si="46"/>
        <v/>
      </c>
      <c r="L198" s="33" t="str">
        <f ca="1">IF(B198,MIN(Parámetros!$B$5-D198,-Parámetros!$B$12*LN(1-RAND())),"")</f>
        <v/>
      </c>
      <c r="M198" s="33" t="str">
        <f t="shared" ca="1" si="47"/>
        <v/>
      </c>
      <c r="N198" s="22" t="str">
        <f t="shared" ca="1" si="48"/>
        <v>-</v>
      </c>
      <c r="O198" s="22" t="str">
        <f ca="1">IF(E198="INTERVENCIÓN",IF(N198&gt;=Parámetros!$B$7,"SÍ","NO"),"-")</f>
        <v>-</v>
      </c>
      <c r="P198" s="23" t="str">
        <f ca="1">IF(E198="INTERVENCIÓN",IF(N198&gt;=Parámetros!$B$7,CHOOSE(RANDBETWEEN(1,2),"APROBADO","NO APROBADO"),"NO APROBADA - Sin quórum"),"-")</f>
        <v>-</v>
      </c>
    </row>
    <row r="199" spans="1:16" x14ac:dyDescent="0.45">
      <c r="A199" s="23" t="str">
        <f t="shared" ca="1" si="40"/>
        <v/>
      </c>
      <c r="B199" s="23">
        <f ca="1">IF(AND(ISNUMBER(D198),D198&lt;Parámetros!$B$5,ISNUMBER(K198),K198&lt;Parámetros!$B$5,A198&lt;MIN(Parámetros!$B$4,Parámetros!$B$10)),1,0)</f>
        <v>0</v>
      </c>
      <c r="C199" s="33" t="str">
        <f ca="1">IF(B199,-Parámetros!$B$11*LN(1-RAND()),"")</f>
        <v/>
      </c>
      <c r="D199" s="33" t="str">
        <f ca="1">IF(B199,MIN(D198+C199,Parámetros!$B$5),"")</f>
        <v/>
      </c>
      <c r="E199" s="23" t="str">
        <f t="shared" ca="1" si="41"/>
        <v/>
      </c>
      <c r="F199" s="33" t="str">
        <f ca="1">IF(B199,ABS(IF(E199="INTERVENCIÓN",NORMINV(RAND(),Parámetros!$B$13,Parámetros!$B$14),0)),"")</f>
        <v/>
      </c>
      <c r="G199" s="33" t="str">
        <f t="shared" ca="1" si="42"/>
        <v/>
      </c>
      <c r="H199" s="33" t="str">
        <f t="shared" ca="1" si="43"/>
        <v/>
      </c>
      <c r="I199" s="33" t="str">
        <f t="shared" ca="1" si="44"/>
        <v/>
      </c>
      <c r="J199" s="23" t="str">
        <f t="shared" ca="1" si="45"/>
        <v/>
      </c>
      <c r="K199" s="33" t="str">
        <f t="shared" ca="1" si="46"/>
        <v/>
      </c>
      <c r="L199" s="33" t="str">
        <f ca="1">IF(B199,MIN(Parámetros!$B$5-D199,-Parámetros!$B$12*LN(1-RAND())),"")</f>
        <v/>
      </c>
      <c r="M199" s="33" t="str">
        <f t="shared" ca="1" si="47"/>
        <v/>
      </c>
      <c r="N199" s="22" t="str">
        <f t="shared" ca="1" si="48"/>
        <v>-</v>
      </c>
      <c r="O199" s="22" t="str">
        <f ca="1">IF(E199="INTERVENCIÓN",IF(N199&gt;=Parámetros!$B$7,"SÍ","NO"),"-")</f>
        <v>-</v>
      </c>
      <c r="P199" s="23" t="str">
        <f ca="1">IF(E199="INTERVENCIÓN",IF(N199&gt;=Parámetros!$B$7,CHOOSE(RANDBETWEEN(1,2),"APROBADO","NO APROBADO"),"NO APROBADA - Sin quórum"),"-")</f>
        <v>-</v>
      </c>
    </row>
    <row r="200" spans="1:16" x14ac:dyDescent="0.45">
      <c r="A200" s="23" t="str">
        <f t="shared" ca="1" si="40"/>
        <v/>
      </c>
      <c r="B200" s="23">
        <f ca="1">IF(AND(ISNUMBER(D199),D199&lt;Parámetros!$B$5,ISNUMBER(K199),K199&lt;Parámetros!$B$5,A199&lt;MIN(Parámetros!$B$4,Parámetros!$B$10)),1,0)</f>
        <v>0</v>
      </c>
      <c r="C200" s="33" t="str">
        <f ca="1">IF(B200,-Parámetros!$B$11*LN(1-RAND()),"")</f>
        <v/>
      </c>
      <c r="D200" s="33" t="str">
        <f ca="1">IF(B200,MIN(D199+C200,Parámetros!$B$5),"")</f>
        <v/>
      </c>
      <c r="E200" s="23" t="str">
        <f t="shared" ca="1" si="41"/>
        <v/>
      </c>
      <c r="F200" s="33" t="str">
        <f ca="1">IF(B200,ABS(IF(E200="INTERVENCIÓN",NORMINV(RAND(),Parámetros!$B$13,Parámetros!$B$14),0)),"")</f>
        <v/>
      </c>
      <c r="G200" s="33" t="str">
        <f t="shared" ca="1" si="42"/>
        <v/>
      </c>
      <c r="H200" s="33" t="str">
        <f t="shared" ca="1" si="43"/>
        <v/>
      </c>
      <c r="I200" s="33" t="str">
        <f t="shared" ca="1" si="44"/>
        <v/>
      </c>
      <c r="J200" s="23" t="str">
        <f t="shared" ca="1" si="45"/>
        <v/>
      </c>
      <c r="K200" s="33" t="str">
        <f t="shared" ca="1" si="46"/>
        <v/>
      </c>
      <c r="L200" s="33" t="str">
        <f ca="1">IF(B200,MIN(Parámetros!$B$5-D200,-Parámetros!$B$12*LN(1-RAND())),"")</f>
        <v/>
      </c>
      <c r="M200" s="33" t="str">
        <f t="shared" ca="1" si="47"/>
        <v/>
      </c>
      <c r="N200" s="22" t="str">
        <f t="shared" ca="1" si="48"/>
        <v>-</v>
      </c>
      <c r="O200" s="22" t="str">
        <f ca="1">IF(E200="INTERVENCIÓN",IF(N200&gt;=Parámetros!$B$7,"SÍ","NO"),"-")</f>
        <v>-</v>
      </c>
      <c r="P200" s="23" t="str">
        <f ca="1">IF(E200="INTERVENCIÓN",IF(N200&gt;=Parámetros!$B$7,CHOOSE(RANDBETWEEN(1,2),"APROBADO","NO APROBADO"),"NO APROBADA - Sin quórum"),"-")</f>
        <v>-</v>
      </c>
    </row>
    <row r="201" spans="1:16" x14ac:dyDescent="0.45">
      <c r="A201" s="23" t="str">
        <f t="shared" ca="1" si="40"/>
        <v/>
      </c>
      <c r="B201" s="23">
        <f ca="1">IF(AND(ISNUMBER(D200),D200&lt;Parámetros!$B$5,ISNUMBER(K200),K200&lt;Parámetros!$B$5,A200&lt;MIN(Parámetros!$B$4,Parámetros!$B$10)),1,0)</f>
        <v>0</v>
      </c>
      <c r="C201" s="33" t="str">
        <f ca="1">IF(B201,-Parámetros!$B$11*LN(1-RAND()),"")</f>
        <v/>
      </c>
      <c r="D201" s="33" t="str">
        <f ca="1">IF(B201,MIN(D200+C201,Parámetros!$B$5),"")</f>
        <v/>
      </c>
      <c r="E201" s="23" t="str">
        <f t="shared" ca="1" si="41"/>
        <v/>
      </c>
      <c r="F201" s="33" t="str">
        <f ca="1">IF(B201,ABS(IF(E201="INTERVENCIÓN",NORMINV(RAND(),Parámetros!$B$13,Parámetros!$B$14),0)),"")</f>
        <v/>
      </c>
      <c r="G201" s="33" t="str">
        <f t="shared" ca="1" si="42"/>
        <v/>
      </c>
      <c r="H201" s="33" t="str">
        <f t="shared" ca="1" si="43"/>
        <v/>
      </c>
      <c r="I201" s="33" t="str">
        <f t="shared" ca="1" si="44"/>
        <v/>
      </c>
      <c r="J201" s="23" t="str">
        <f t="shared" ca="1" si="45"/>
        <v/>
      </c>
      <c r="K201" s="33" t="str">
        <f t="shared" ca="1" si="46"/>
        <v/>
      </c>
      <c r="L201" s="33" t="str">
        <f ca="1">IF(B201,MIN(Parámetros!$B$5-D201,-Parámetros!$B$12*LN(1-RAND())),"")</f>
        <v/>
      </c>
      <c r="M201" s="33" t="str">
        <f t="shared" ca="1" si="47"/>
        <v/>
      </c>
      <c r="N201" s="22" t="str">
        <f t="shared" ca="1" si="48"/>
        <v>-</v>
      </c>
      <c r="O201" s="22" t="str">
        <f ca="1">IF(E201="INTERVENCIÓN",IF(N201&gt;=Parámetros!$B$7,"SÍ","NO"),"-")</f>
        <v>-</v>
      </c>
      <c r="P201" s="23" t="str">
        <f ca="1">IF(E201="INTERVENCIÓN",IF(N201&gt;=Parámetros!$B$7,CHOOSE(RANDBETWEEN(1,2),"APROBADO","NO APROBADO"),"NO APROBADA - Sin quórum"),"-")</f>
        <v>-</v>
      </c>
    </row>
    <row r="202" spans="1:16" x14ac:dyDescent="0.45">
      <c r="A202" s="23" t="str">
        <f t="shared" ca="1" si="40"/>
        <v/>
      </c>
      <c r="B202" s="23">
        <f ca="1">IF(AND(ISNUMBER(D201),D201&lt;Parámetros!$B$5,ISNUMBER(K201),K201&lt;Parámetros!$B$5,A201&lt;MIN(Parámetros!$B$4,Parámetros!$B$10)),1,0)</f>
        <v>0</v>
      </c>
      <c r="C202" s="33" t="str">
        <f ca="1">IF(B202,-Parámetros!$B$11*LN(1-RAND()),"")</f>
        <v/>
      </c>
      <c r="D202" s="33" t="str">
        <f ca="1">IF(B202,MIN(D201+C202,Parámetros!$B$5),"")</f>
        <v/>
      </c>
      <c r="E202" s="23" t="str">
        <f t="shared" ca="1" si="41"/>
        <v/>
      </c>
      <c r="F202" s="33" t="str">
        <f ca="1">IF(B202,ABS(IF(E202="INTERVENCIÓN",NORMINV(RAND(),Parámetros!$B$13,Parámetros!$B$14),0)),"")</f>
        <v/>
      </c>
      <c r="G202" s="33" t="str">
        <f t="shared" ca="1" si="42"/>
        <v/>
      </c>
      <c r="H202" s="33" t="str">
        <f t="shared" ca="1" si="43"/>
        <v/>
      </c>
      <c r="I202" s="33" t="str">
        <f t="shared" ca="1" si="44"/>
        <v/>
      </c>
      <c r="J202" s="23" t="str">
        <f t="shared" ca="1" si="45"/>
        <v/>
      </c>
      <c r="K202" s="33" t="str">
        <f t="shared" ca="1" si="46"/>
        <v/>
      </c>
      <c r="L202" s="33" t="str">
        <f ca="1">IF(B202,MIN(Parámetros!$B$5-D202,-Parámetros!$B$12*LN(1-RAND())),"")</f>
        <v/>
      </c>
      <c r="M202" s="33" t="str">
        <f t="shared" ca="1" si="47"/>
        <v/>
      </c>
      <c r="N202" s="22" t="str">
        <f t="shared" ca="1" si="48"/>
        <v>-</v>
      </c>
      <c r="O202" s="22" t="str">
        <f ca="1">IF(E202="INTERVENCIÓN",IF(N202&gt;=Parámetros!$B$7,"SÍ","NO"),"-")</f>
        <v>-</v>
      </c>
      <c r="P202" s="23" t="str">
        <f ca="1">IF(E202="INTERVENCIÓN",IF(N202&gt;=Parámetros!$B$7,CHOOSE(RANDBETWEEN(1,2),"APROBADO","NO APROBADO"),"NO APROBADA - Sin quórum"),"-")</f>
        <v>-</v>
      </c>
    </row>
    <row r="203" spans="1:16" x14ac:dyDescent="0.45">
      <c r="P203" s="40"/>
    </row>
  </sheetData>
  <conditionalFormatting sqref="E3:E202">
    <cfRule type="expression" dxfId="6" priority="6">
      <formula>E3="INTERVENCIÓN"</formula>
    </cfRule>
    <cfRule type="expression" dxfId="5" priority="7">
      <formula>E3="VOTACIÓN"</formula>
    </cfRule>
  </conditionalFormatting>
  <conditionalFormatting sqref="O3:O202">
    <cfRule type="expression" dxfId="4" priority="4">
      <formula>O3="SÍ"</formula>
    </cfRule>
    <cfRule type="expression" dxfId="3" priority="5">
      <formula>O3="NO"</formula>
    </cfRule>
  </conditionalFormatting>
  <conditionalFormatting sqref="P3:P203">
    <cfRule type="expression" dxfId="2" priority="1">
      <formula>P3="APROBADO"</formula>
    </cfRule>
    <cfRule type="expression" dxfId="1" priority="2">
      <formula>P3="NO APROBADO"</formula>
    </cfRule>
    <cfRule type="expression" dxfId="0" priority="3">
      <formula>ISNUMBER(SEARCH("quórum",P3))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Parámetros</vt:lpstr>
      <vt:lpstr>Simulación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 Nicolás Muñoz Cortés</cp:lastModifiedBy>
  <dcterms:created xsi:type="dcterms:W3CDTF">2026-04-27T20:58:31Z</dcterms:created>
  <dcterms:modified xsi:type="dcterms:W3CDTF">2026-04-27T23:33:49Z</dcterms:modified>
</cp:coreProperties>
</file>